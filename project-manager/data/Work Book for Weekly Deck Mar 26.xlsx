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ipath-my.sharepoint.com/personal/thiyagarajan_s_uipath_com/Documents/US Projects/Latest Updates/2026/Master Workbook March 26/"/>
    </mc:Choice>
  </mc:AlternateContent>
  <xr:revisionPtr revIDLastSave="3209" documentId="8_{AC9F5B68-BA91-446C-83E1-FDDE2BFB8B2A}" xr6:coauthVersionLast="47" xr6:coauthVersionMax="47" xr10:uidLastSave="{A063451A-6240-4469-A351-389D2866DE32}"/>
  <bookViews>
    <workbookView xWindow="-110" yWindow="-110" windowWidth="19420" windowHeight="10300" firstSheet="5" activeTab="5" xr2:uid="{16977AFF-9F91-4449-BC84-5D2E05D837AB}"/>
  </bookViews>
  <sheets>
    <sheet name="Issue Description" sheetId="17" r:id="rId1"/>
    <sheet name="Phase wise count" sheetId="14" r:id="rId2"/>
    <sheet name="Resources allocations" sheetId="16" r:id="rId3"/>
    <sheet name="Utilization " sheetId="13" r:id="rId4"/>
    <sheet name="Summary Dashboard" sheetId="21" r:id="rId5"/>
    <sheet name="Updated Pivot" sheetId="10" r:id="rId6"/>
    <sheet name="AMER Project Details FY 26" sheetId="19" r:id="rId7"/>
    <sheet name="Project Details includes Closed" sheetId="20" r:id="rId8"/>
  </sheets>
  <definedNames>
    <definedName name="_xlnm._FilterDatabase" localSheetId="6" hidden="1">'AMER Project Details FY 26'!$A$1:$AA$66</definedName>
    <definedName name="_xlnm._FilterDatabase" localSheetId="1" hidden="1">'Phase wise count'!$J$1:$L$42</definedName>
    <definedName name="_xlnm._FilterDatabase" localSheetId="7" hidden="1">'Project Details includes Closed'!$A$1:$Q$74</definedName>
  </definedNames>
  <calcPr calcId="191028"/>
  <pivotCaches>
    <pivotCache cacheId="10" r:id="rId9"/>
    <pivotCache cacheId="11" r:id="rId10"/>
    <pivotCache cacheId="1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3" i="21" l="1"/>
  <c r="T32" i="21" s="1"/>
  <c r="S17" i="21"/>
  <c r="T16" i="21" s="1"/>
  <c r="C25" i="10"/>
  <c r="C24" i="10"/>
  <c r="C23" i="10"/>
  <c r="C26" i="10" l="1"/>
  <c r="T15" i="21"/>
  <c r="T17" i="21" s="1"/>
  <c r="T28" i="21"/>
  <c r="T29" i="21"/>
  <c r="T30" i="21"/>
  <c r="T31" i="21"/>
  <c r="T33" i="21" l="1"/>
  <c r="J25" i="10" l="1"/>
  <c r="I23" i="10"/>
  <c r="J28" i="10" s="1"/>
  <c r="I30" i="10" l="1"/>
  <c r="J24" i="10"/>
  <c r="J26" i="10"/>
  <c r="J27" i="10"/>
  <c r="B50" i="16"/>
  <c r="J23" i="10" l="1"/>
  <c r="J29" i="10"/>
  <c r="J30" i="10" s="1"/>
  <c r="F78" i="19"/>
  <c r="F50" i="16" l="1"/>
  <c r="E50" i="16"/>
  <c r="D50" i="16"/>
  <c r="C50" i="16"/>
  <c r="C4" i="10"/>
  <c r="C14" i="10"/>
  <c r="C3" i="10"/>
  <c r="C15" i="10"/>
  <c r="C13" i="10"/>
  <c r="G4" i="10"/>
  <c r="G3" i="10"/>
  <c r="G5" i="10"/>
  <c r="C5" i="10" l="1"/>
  <c r="G6" i="10"/>
  <c r="C16" i="10"/>
  <c r="G43" i="14"/>
  <c r="F43" i="14"/>
  <c r="E43" i="14"/>
  <c r="D43" i="14"/>
  <c r="C43" i="14"/>
  <c r="B41" i="14"/>
  <c r="B40" i="14" l="1"/>
  <c r="B39" i="14"/>
  <c r="B36" i="14" l="1"/>
  <c r="B38" i="14"/>
  <c r="B37" i="14"/>
  <c r="B20" i="14" l="1"/>
  <c r="B35" i="14"/>
  <c r="B34" i="14"/>
  <c r="B10" i="14"/>
  <c r="B11" i="14"/>
  <c r="P56" i="14" l="1"/>
  <c r="O56" i="14"/>
  <c r="L56" i="14"/>
  <c r="K56" i="14"/>
  <c r="Q55" i="14"/>
  <c r="Q53" i="14"/>
  <c r="Q56" i="14" s="1"/>
  <c r="B33" i="14" l="1"/>
  <c r="B32" i="14"/>
  <c r="B31" i="14"/>
  <c r="B6" i="14" l="1"/>
  <c r="B30" i="14"/>
  <c r="B23" i="14" l="1"/>
  <c r="K29" i="19" l="1"/>
  <c r="B29" i="14" l="1"/>
  <c r="B43" i="14" s="1"/>
  <c r="B22" i="14" l="1"/>
  <c r="B14" i="14"/>
  <c r="B28" i="14" l="1"/>
  <c r="B27" i="14"/>
  <c r="B26" i="14"/>
  <c r="B25" i="14"/>
  <c r="B24" i="14"/>
  <c r="B21" i="14"/>
  <c r="B19" i="14"/>
  <c r="B18" i="14"/>
  <c r="B17" i="14"/>
  <c r="B16" i="14"/>
  <c r="B8" i="14"/>
  <c r="B4" i="14" l="1"/>
  <c r="B3" i="14" l="1"/>
  <c r="C6" i="17" l="1"/>
  <c r="D5" i="17" s="1"/>
  <c r="D2" i="17" l="1"/>
  <c r="F45" i="14" l="1"/>
  <c r="B2" i="14"/>
  <c r="B5" i="14"/>
  <c r="E45" i="14" l="1"/>
  <c r="D45" i="14"/>
  <c r="C45" i="14"/>
  <c r="B9" i="14"/>
  <c r="B15" i="14"/>
  <c r="B7" i="14"/>
  <c r="B12" i="14"/>
  <c r="B13" i="14"/>
  <c r="B45" i="14" l="1"/>
  <c r="G45" i="14"/>
  <c r="J7" i="21"/>
  <c r="S5" i="21" s="1"/>
  <c r="S9" i="21" s="1"/>
  <c r="T5" i="21" l="1"/>
  <c r="T8" i="21" l="1"/>
  <c r="T7" i="21"/>
  <c r="T6" i="21"/>
  <c r="T9" i="2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tc={258DAA5F-8BF9-440A-890A-705FF43A1C2E}</author>
    <author>tc={7F1EB2BC-9446-4DCE-BA04-544FE50D697B}</author>
    <author>tc={29890289-999B-4BE7-A734-F94F93B50E65}</author>
    <author>tc={49616A5D-F12F-4449-B7DE-AED2D8853A85}</author>
    <author>tc={27E3740D-271E-4851-A697-A90C5904430F}</author>
    <author>tc={0A2ECA34-B5CD-4A73-93FF-54D6948D6342}</author>
    <author>tc={41097D18-F612-4C91-8CF3-97797F2F56EA}</author>
    <author>tc={2659E950-214B-4C2F-A388-7E8B98F008B0}</author>
    <author>tc={2B939F7A-335B-41D4-8898-DCE73AD6439C}</author>
    <author>tc={07BD1ECF-3110-4074-A418-184647118F7B}</author>
    <author>tc={0637DE02-5060-4056-BD0D-C15778D07999}</author>
    <author>tc={F6B2DBA3-DB2B-4C5E-83ED-A29364860B86}</author>
    <author>tc={A150C785-63EB-4FBE-88DC-A540E969A1A4}</author>
    <author>tc={19F284C4-37D7-4DFE-A530-5CAA734B9792}</author>
    <author>tc={1594E546-5AA5-4B86-B530-C659695C3BEB}</author>
    <author>tc={96DC9357-BCD7-43B4-9B7A-BE453D1A36B0}</author>
    <author>tc={443074D2-BA84-4512-A1D8-84A177894495}</author>
    <author>tc={CCF02E84-FFBA-4424-AA92-24FED61F9653}</author>
    <author>tc={C5D35969-B46B-4382-8866-435BA42C9566}</author>
    <author>tc={744F8964-3E77-473A-9DA1-80E972ECC8A2}</author>
    <author>tc={8062FA0C-57B6-462B-BC3C-2ADD86AD4C02}</author>
    <author>tc={AF32F310-9276-43F3-A0A8-E38448718822}</author>
    <author>tc={5C461A19-107D-461E-963F-B6A0C526078A}</author>
    <author>tc={90679DAF-41D4-487C-A102-6655FB2802A1}</author>
    <author>tc={F4279571-F7EF-46E0-8778-AB371A3C9BE5}</author>
    <author>tc={2DB00693-4C45-4562-9C76-D2EEB0D8F197}</author>
    <author>tc={3E04A5F5-3D13-41AE-AD62-36DE5BC71AE9}</author>
    <author>tc={5B1FE04C-43F8-4B38-96E5-1583C665D80D}</author>
    <author>tc={0E8B730A-8CE1-405A-804A-6F8329E0190B}</author>
    <author>tc={06E89D9F-3297-4797-B4AA-C809082488F3}</author>
    <author>tc={13EEE82D-543C-4A1F-BC33-514CEF46AD6A}</author>
    <author>tc={20F7B3E0-264E-4B7A-BF5F-8C2AD206EAD9}</author>
    <author>tc={45F296D8-03DB-4AAA-910F-B0B21B827323}</author>
    <author>tc={7E667480-5A01-4B20-A39D-94B17F16D551}</author>
    <author>tc={A4CDAA80-A45F-4C86-BFFD-782BAC3E96D2}</author>
    <author>tc={827AFDA5-8479-4C3C-953F-087F1CAF20E4}</author>
    <author>tc={BB9F1CC6-438A-440F-84E4-F2E3E2E4DC0B}</author>
    <author>tc={0276B583-3855-4A42-A757-DA7FCDEE354D}</author>
    <author>tc={C42BCD5B-1382-43F9-A359-185A765F0FFA}</author>
    <author>tc={24F8D931-E342-47C0-A709-01D0D5A6825B}</author>
  </authors>
  <commentList>
    <comment ref="A8" authorId="0" shapeId="0" xr:uid="{258DAA5F-8BF9-440A-890A-705FF43A1C2E}">
      <text>
        <t>[Threaded comment]
Your version of Excel allows you to read this threaded comment; however, any edits to it will get removed if the file is opened in a newer version of Excel. Learn more: https://go.microsoft.com/fwlink/?linkid=870924
Comment:
    Raghavendra</t>
      </text>
    </comment>
    <comment ref="A11" authorId="1" shapeId="0" xr:uid="{7F1EB2BC-9446-4DCE-BA04-544FE50D697B}">
      <text>
        <t>[Threaded comment]
Your version of Excel allows you to read this threaded comment; however, any edits to it will get removed if the file is opened in a newer version of Excel. Learn more: https://go.microsoft.com/fwlink/?linkid=870924
Comment:
    Raju Naik</t>
      </text>
    </comment>
    <comment ref="A12" authorId="2" shapeId="0" xr:uid="{29890289-999B-4BE7-A734-F94F93B50E65}">
      <text>
        <t>[Threaded comment]
Your version of Excel allows you to read this threaded comment; however, any edits to it will get removed if the file is opened in a newer version of Excel. Learn more: https://go.microsoft.com/fwlink/?linkid=870924
Comment:
    Purushotham Bathula</t>
      </text>
    </comment>
    <comment ref="A13" authorId="3" shapeId="0" xr:uid="{49616A5D-F12F-4449-B7DE-AED2D8853A85}">
      <text>
        <t>[Threaded comment]
Your version of Excel allows you to read this threaded comment; however, any edits to it will get removed if the file is opened in a newer version of Excel. Learn more: https://go.microsoft.com/fwlink/?linkid=870924
Comment:
    Raghavendra</t>
      </text>
    </comment>
    <comment ref="A14" authorId="4" shapeId="0" xr:uid="{27E3740D-271E-4851-A697-A90C5904430F}">
      <text>
        <t>[Threaded comment]
Your version of Excel allows you to read this threaded comment; however, any edits to it will get removed if the file is opened in a newer version of Excel. Learn more: https://go.microsoft.com/fwlink/?linkid=870924
Comment:
    Amaladeepan 312 Hrs only</t>
      </text>
    </comment>
    <comment ref="A15" authorId="5" shapeId="0" xr:uid="{0A2ECA34-B5CD-4A73-93FF-54D6948D6342}">
      <text>
        <t xml:space="preserve">[Threaded comment]
Your version of Excel allows you to read this threaded comment; however, any edits to it will get removed if the file is opened in a newer version of Excel. Learn more: https://go.microsoft.com/fwlink/?linkid=870924
Comment:
    Bhabagrahi Lenka </t>
      </text>
    </comment>
    <comment ref="A16" authorId="6" shapeId="0" xr:uid="{41097D18-F612-4C91-8CF3-97797F2F56EA}">
      <text>
        <t>[Threaded comment]
Your version of Excel allows you to read this threaded comment; however, any edits to it will get removed if the file is opened in a newer version of Excel. Learn more: https://go.microsoft.com/fwlink/?linkid=870924
Comment:
    Prativa Karali</t>
      </text>
    </comment>
    <comment ref="A17" authorId="7" shapeId="0" xr:uid="{2659E950-214B-4C2F-A388-7E8B98F008B0}">
      <text>
        <t>[Threaded comment]
Your version of Excel allows you to read this threaded comment; however, any edits to it will get removed if the file is opened in a newer version of Excel. Learn more: https://go.microsoft.com/fwlink/?linkid=870924
Comment:
    Vamsi Krishna</t>
      </text>
    </comment>
    <comment ref="A18" authorId="8" shapeId="0" xr:uid="{2B939F7A-335B-41D4-8898-DCE73AD6439C}">
      <text>
        <t>[Threaded comment]
Your version of Excel allows you to read this threaded comment; however, any edits to it will get removed if the file is opened in a newer version of Excel. Learn more: https://go.microsoft.com/fwlink/?linkid=870924
Comment:
    SA_ Rajat Gupta, BA - Debashish, DU Dev - Ranjit Udaykumar</t>
      </text>
    </comment>
    <comment ref="A19" authorId="9" shapeId="0" xr:uid="{07BD1ECF-3110-4074-A418-184647118F7B}">
      <text>
        <t>[Threaded comment]
Your version of Excel allows you to read this threaded comment; however, any edits to it will get removed if the file is opened in a newer version of Excel. Learn more: https://go.microsoft.com/fwlink/?linkid=870924
Comment:
    DU Dev - Amit Joshi, Vasantha R</t>
      </text>
    </comment>
    <comment ref="A20" authorId="10" shapeId="0" xr:uid="{0637DE02-5060-4056-BD0D-C15778D07999}">
      <text>
        <t>[Threaded comment]
Your version of Excel allows you to read this threaded comment; however, any edits to it will get removed if the file is opened in a newer version of Excel. Learn more: https://go.microsoft.com/fwlink/?linkid=870924
Comment:
    Dev - Anand Karn</t>
      </text>
    </comment>
    <comment ref="A21" authorId="11" shapeId="0" xr:uid="{F6B2DBA3-DB2B-4C5E-83ED-A29364860B86}">
      <text>
        <t>[Threaded comment]
Your version of Excel allows you to read this threaded comment; however, any edits to it will get removed if the file is opened in a newer version of Excel. Learn more: https://go.microsoft.com/fwlink/?linkid=870924
Comment:
    Dev - Kalki Suresh Kuma, PM - Amit Kumar</t>
      </text>
    </comment>
    <comment ref="A22" authorId="12" shapeId="0" xr:uid="{A150C785-63EB-4FBE-88DC-A540E969A1A4}">
      <text>
        <t xml:space="preserve">[Threaded comment]
Your version of Excel allows you to read this threaded comment; however, any edits to it will get removed if the file is opened in a newer version of Excel. Learn more: https://go.microsoft.com/fwlink/?linkid=870924
Comment:
    Dev - Pranet, SA - Vasanth </t>
      </text>
    </comment>
    <comment ref="A23" authorId="13" shapeId="0" xr:uid="{19F284C4-37D7-4DFE-A530-5CAA734B9792}">
      <text>
        <t>[Threaded comment]
Your version of Excel allows you to read this threaded comment; however, any edits to it will get removed if the file is opened in a newer version of Excel. Learn more: https://go.microsoft.com/fwlink/?linkid=870924
Comment:
    DU Dev - Ritesh Burman</t>
      </text>
    </comment>
    <comment ref="A24" authorId="14" shapeId="0" xr:uid="{1594E546-5AA5-4B86-B530-C659695C3BEB}">
      <text>
        <t>[Threaded comment]
Your version of Excel allows you to read this threaded comment; however, any edits to it will get removed if the file is opened in a newer version of Excel. Learn more: https://go.microsoft.com/fwlink/?linkid=870924
Comment:
    Santhosh Arjun</t>
      </text>
    </comment>
    <comment ref="A25" authorId="15" shapeId="0" xr:uid="{96DC9357-BCD7-43B4-9B7A-BE453D1A36B0}">
      <text>
        <t>[Threaded comment]
Your version of Excel allows you to read this threaded comment; however, any edits to it will get removed if the file is opened in a newer version of Excel. Learn more: https://go.microsoft.com/fwlink/?linkid=870924
Comment:
    Chetan Dawan</t>
      </text>
    </comment>
    <comment ref="A26" authorId="16" shapeId="0" xr:uid="{443074D2-BA84-4512-A1D8-84A177894495}">
      <text>
        <t>[Threaded comment]
Your version of Excel allows you to read this threaded comment; however, any edits to it will get removed if the file is opened in a newer version of Excel. Learn more: https://go.microsoft.com/fwlink/?linkid=870924
Comment:
    George Ken</t>
      </text>
    </comment>
    <comment ref="A27" authorId="17" shapeId="0" xr:uid="{CCF02E84-FFBA-4424-AA92-24FED61F9653}">
      <text>
        <t>[Threaded comment]
Your version of Excel allows you to read this threaded comment; however, any edits to it will get removed if the file is opened in a newer version of Excel. Learn more: https://go.microsoft.com/fwlink/?linkid=870924
Comment:
    Syed Abdahir</t>
      </text>
    </comment>
    <comment ref="A28" authorId="18" shapeId="0" xr:uid="{C5D35969-B46B-4382-8866-435BA42C9566}">
      <text>
        <t>[Threaded comment]
Your version of Excel allows you to read this threaded comment; however, any edits to it will get removed if the file is opened in a newer version of Excel. Learn more: https://go.microsoft.com/fwlink/?linkid=870924
Comment:
    Ritesh Burman</t>
      </text>
    </comment>
    <comment ref="A29" authorId="19" shapeId="0" xr:uid="{744F8964-3E77-473A-9DA1-80E972ECC8A2}">
      <text>
        <t>[Threaded comment]
Your version of Excel allows you to read this threaded comment; however, any edits to it will get removed if the file is opened in a newer version of Excel. Learn more: https://go.microsoft.com/fwlink/?linkid=870924
Comment:
    Vasantha R</t>
      </text>
    </comment>
    <comment ref="A30" authorId="20" shapeId="0" xr:uid="{8062FA0C-57B6-462B-BC3C-2ADD86AD4C02}">
      <text>
        <t>[Threaded comment]
Your version of Excel allows you to read this threaded comment; however, any edits to it will get removed if the file is opened in a newer version of Excel. Learn more: https://go.microsoft.com/fwlink/?linkid=870924
Comment:
    Raju Naik</t>
      </text>
    </comment>
    <comment ref="A31" authorId="21" shapeId="0" xr:uid="{AF32F310-9276-43F3-A0A8-E38448718822}">
      <text>
        <t>[Threaded comment]
Your version of Excel allows you to read this threaded comment; however, any edits to it will get removed if the file is opened in a newer version of Excel. Learn more: https://go.microsoft.com/fwlink/?linkid=870924
Comment:
    Dev - Chetan Dawan</t>
      </text>
    </comment>
    <comment ref="A32" authorId="22" shapeId="0" xr:uid="{5C461A19-107D-461E-963F-B6A0C526078A}">
      <text>
        <t>[Threaded comment]
Your version of Excel allows you to read this threaded comment; however, any edits to it will get removed if the file is opened in a newer version of Excel. Learn more: https://go.microsoft.com/fwlink/?linkid=870924
Comment:
    Dev - Vasanth S</t>
      </text>
    </comment>
    <comment ref="A33" authorId="23" shapeId="0" xr:uid="{90679DAF-41D4-487C-A102-6655FB2802A1}">
      <text>
        <t>[Threaded comment]
Your version of Excel allows you to read this threaded comment; however, any edits to it will get removed if the file is opened in a newer version of Excel. Learn more: https://go.microsoft.com/fwlink/?linkid=870924
Comment:
    SA - Saranya , Infra - Arjun</t>
      </text>
    </comment>
    <comment ref="A34" authorId="24" shapeId="0" xr:uid="{F4279571-F7EF-46E0-8778-AB371A3C9BE5}">
      <text>
        <t>[Threaded comment]
Your version of Excel allows you to read this threaded comment; however, any edits to it will get removed if the file is opened in a newer version of Excel. Learn more: https://go.microsoft.com/fwlink/?linkid=870924
Comment:
    Navas Hamsa</t>
      </text>
    </comment>
    <comment ref="A35" authorId="25" shapeId="0" xr:uid="{2DB00693-4C45-4562-9C76-D2EEB0D8F197}">
      <text>
        <t xml:space="preserve">[Threaded comment]
Your version of Excel allows you to read this threaded comment; however, any edits to it will get removed if the file is opened in a newer version of Excel. Learn more: https://go.microsoft.com/fwlink/?linkid=870924
Comment:
    Developers - Anshuman, Mina Mundhe, Dharunya </t>
      </text>
    </comment>
    <comment ref="A36" authorId="26" shapeId="0" xr:uid="{3E04A5F5-3D13-41AE-AD62-36DE5BC71AE9}">
      <text>
        <t>[Threaded comment]
Your version of Excel allows you to read this threaded comment; however, any edits to it will get removed if the file is opened in a newer version of Excel. Learn more: https://go.microsoft.com/fwlink/?linkid=870924
Comment:
    Sanjana M</t>
      </text>
    </comment>
    <comment ref="A37" authorId="27" shapeId="0" xr:uid="{5B1FE04C-43F8-4B38-96E5-1583C665D80D}">
      <text>
        <t>[Threaded comment]
Your version of Excel allows you to read this threaded comment; however, any edits to it will get removed if the file is opened in a newer version of Excel. Learn more: https://go.microsoft.com/fwlink/?linkid=870924
Comment:
    Shubam Jhadav</t>
      </text>
    </comment>
    <comment ref="A38" authorId="28" shapeId="0" xr:uid="{0E8B730A-8CE1-405A-804A-6F8329E0190B}">
      <text>
        <t>[Threaded comment]
Your version of Excel allows you to read this threaded comment; however, any edits to it will get removed if the file is opened in a newer version of Excel. Learn more: https://go.microsoft.com/fwlink/?linkid=870924
Comment:
    SA - Vasanth Sankaran, Sr. Dev - Abishek Singh</t>
      </text>
    </comment>
    <comment ref="A39" authorId="29" shapeId="0" xr:uid="{06E89D9F-3297-4797-B4AA-C809082488F3}">
      <text>
        <t>[Threaded comment]
Your version of Excel allows you to read this threaded comment; however, any edits to it will get removed if the file is opened in a newer version of Excel. Learn more: https://go.microsoft.com/fwlink/?linkid=870924
Comment:
    Dev - Sarita Shukla</t>
      </text>
    </comment>
    <comment ref="A40" authorId="30" shapeId="0" xr:uid="{13EEE82D-543C-4A1F-BC33-514CEF46AD6A}">
      <text>
        <t>[Threaded comment]
Your version of Excel allows you to read this threaded comment; however, any edits to it will get removed if the file is opened in a newer version of Excel. Learn more: https://go.microsoft.com/fwlink/?linkid=870924
Comment:
    DU Dev - Nikita Pai, SA - Raghav</t>
      </text>
    </comment>
    <comment ref="A41" authorId="31" shapeId="0" xr:uid="{20F7B3E0-264E-4B7A-BF5F-8C2AD206EAD9}">
      <text>
        <t>[Threaded comment]
Your version of Excel allows you to read this threaded comment; however, any edits to it will get removed if the file is opened in a newer version of Excel. Learn more: https://go.microsoft.com/fwlink/?linkid=870924
Comment:
    Dev - Hitesh Kumar</t>
      </text>
    </comment>
    <comment ref="A42" authorId="32" shapeId="0" xr:uid="{45F296D8-03DB-4AAA-910F-B0B21B827323}">
      <text>
        <t>[Threaded comment]
Your version of Excel allows you to read this threaded comment; however, any edits to it will get removed if the file is opened in a newer version of Excel. Learn more: https://go.microsoft.com/fwlink/?linkid=870924
Comment:
    SA - LIri</t>
      </text>
    </comment>
    <comment ref="A43" authorId="33" shapeId="0" xr:uid="{7E667480-5A01-4B20-A39D-94B17F16D551}">
      <text>
        <t>[Threaded comment]
Your version of Excel allows you to read this threaded comment; however, any edits to it will get removed if the file is opened in a newer version of Excel. Learn more: https://go.microsoft.com/fwlink/?linkid=870924
Comment:
    SA - k. Veerapandiyan
Dev - Vinod Badgujar</t>
      </text>
    </comment>
    <comment ref="A44" authorId="34" shapeId="0" xr:uid="{A4CDAA80-A45F-4C86-BFFD-782BAC3E96D2}">
      <text>
        <t>[Threaded comment]
Your version of Excel allows you to read this threaded comment; however, any edits to it will get removed if the file is opened in a newer version of Excel. Learn more: https://go.microsoft.com/fwlink/?linkid=870924
Comment:
    Agentic Dev - Shlok Singh</t>
      </text>
    </comment>
    <comment ref="A45" authorId="35" shapeId="0" xr:uid="{827AFDA5-8479-4C3C-953F-087F1CAF20E4}">
      <text>
        <t>[Threaded comment]
Your version of Excel allows you to read this threaded comment; however, any edits to it will get removed if the file is opened in a newer version of Excel. Learn more: https://go.microsoft.com/fwlink/?linkid=870924
Comment:
    Dev - Sachdeep Singh</t>
      </text>
    </comment>
    <comment ref="A46" authorId="36" shapeId="0" xr:uid="{BB9F1CC6-438A-440F-84E4-F2E3E2E4DC0B}">
      <text>
        <t>[Threaded comment]
Your version of Excel allows you to read this threaded comment; however, any edits to it will get removed if the file is opened in a newer version of Excel. Learn more: https://go.microsoft.com/fwlink/?linkid=870924
Comment:
    SA - Chaman, Dev - Shivanugowda</t>
      </text>
    </comment>
    <comment ref="A47" authorId="37" shapeId="0" xr:uid="{0276B583-3855-4A42-A757-DA7FCDEE354D}">
      <text>
        <t>[Threaded comment]
Your version of Excel allows you to read this threaded comment; however, any edits to it will get removed if the file is opened in a newer version of Excel. Learn more: https://go.microsoft.com/fwlink/?linkid=870924
Comment:
    Dev - Karthik Deshpande</t>
      </text>
    </comment>
    <comment ref="A48" authorId="38" shapeId="0" xr:uid="{C42BCD5B-1382-43F9-A359-185A765F0FFA}">
      <text>
        <t>[Threaded comment]
Your version of Excel allows you to read this threaded comment; however, any edits to it will get removed if the file is opened in a newer version of Excel. Learn more: https://go.microsoft.com/fwlink/?linkid=870924
Comment:
    SA - Sagi Shailendra</t>
      </text>
    </comment>
    <comment ref="A49" authorId="39" shapeId="0" xr:uid="{24F8D931-E342-47C0-A709-01D0D5A6825B}">
      <text>
        <t>[Threaded comment]
Your version of Excel allows you to read this threaded comment; however, any edits to it will get removed if the file is opened in a newer version of Excel. Learn more: https://go.microsoft.com/fwlink/?linkid=870924
Comment:
    BA - Rijan Gaha, Dev - Varun Bharadwaj</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tc={8773B172-4EC5-439F-8862-EC7F3E305148}</author>
    <author>tc={98C52F99-F864-4A9B-ABA0-E1FA5B1AA996}</author>
    <author>tc={E984EB8B-3EFD-421B-9AC0-38FD82F47E8F}</author>
    <author>tc={01DE00AB-3B7B-4582-806D-19B95936D3E0}</author>
    <author>tc={D0EA1800-8BEB-415C-AA70-DFF4D41DF007}</author>
  </authors>
  <commentList>
    <comment ref="F12" authorId="0" shapeId="0" xr:uid="{8773B172-4EC5-439F-8862-EC7F3E305148}">
      <text>
        <t>[Threaded comment]
Your version of Excel allows you to read this threaded comment; however, any edits to it will get removed if the file is opened in a newer version of Excel. Learn more: https://go.microsoft.com/fwlink/?linkid=870924
Comment:
    DU/IXP</t>
      </text>
    </comment>
    <comment ref="F28" authorId="1" shapeId="0" xr:uid="{98C52F99-F864-4A9B-ABA0-E1FA5B1AA996}">
      <text>
        <t>[Threaded comment]
Your version of Excel allows you to read this threaded comment; however, any edits to it will get removed if the file is opened in a newer version of Excel. Learn more: https://go.microsoft.com/fwlink/?linkid=870924
Comment:
    Agentic</t>
      </text>
    </comment>
    <comment ref="K29" authorId="2" shapeId="0" xr:uid="{E984EB8B-3EFD-421B-9AC0-38FD82F47E8F}">
      <text>
        <t>[Threaded comment]
Your version of Excel allows you to read this threaded comment; however, any edits to it will get removed if the file is opened in a newer version of Excel. Learn more: https://go.microsoft.com/fwlink/?linkid=870924
Comment:
    CR to add 200 hrs approved on 29 April 2025</t>
      </text>
    </comment>
    <comment ref="G31" authorId="3" shapeId="0" xr:uid="{01DE00AB-3B7B-4582-806D-19B95936D3E0}">
      <text>
        <t>[Threaded comment]
Your version of Excel allows you to read this threaded comment; however, any edits to it will get removed if the file is opened in a newer version of Excel. Learn more: https://go.microsoft.com/fwlink/?linkid=870924
Comment:
    New York</t>
      </text>
    </comment>
    <comment ref="G47" authorId="4" shapeId="0" xr:uid="{D0EA1800-8BEB-415C-AA70-DFF4D41DF007}">
      <text>
        <t>[Threaded comment]
Your version of Excel allows you to read this threaded comment; however, any edits to it will get removed if the file is opened in a newer version of Excel. Learn more: https://go.microsoft.com/fwlink/?linkid=870924
Comment:
    New York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tc={FA364A7C-DB93-40E3-BA48-5B2311E9A0BC}</author>
    <author>tc={004ED087-5C02-4A59-BFAB-5091AE3B1785}</author>
    <author>tc={021AA459-7452-4769-9585-378E777473F4}</author>
    <author>tc={335F65ED-4158-4AAF-9C93-7DD1F8FA73AE}</author>
  </authors>
  <commentList>
    <comment ref="B44" authorId="0" shapeId="0" xr:uid="{FA364A7C-DB93-40E3-BA48-5B2311E9A0BC}">
      <text>
        <t>[Threaded comment]
Your version of Excel allows you to read this threaded comment; however, any edits to it will get removed if the file is opened in a newer version of Excel. Learn more: https://go.microsoft.com/fwlink/?linkid=870924
Comment:
    Sagar, Shikha, Sukannya, Sunil
Closed in Jan 2025</t>
      </text>
    </comment>
    <comment ref="B46" authorId="1" shapeId="0" xr:uid="{004ED087-5C02-4A59-BFAB-5091AE3B1785}">
      <text>
        <t>[Threaded comment]
Your version of Excel allows you to read this threaded comment; however, any edits to it will get removed if the file is opened in a newer version of Excel. Learn more: https://go.microsoft.com/fwlink/?linkid=870924
Comment:
    Priya Kannan
Closed in Jan 2025</t>
      </text>
    </comment>
    <comment ref="C49" authorId="2" shapeId="0" xr:uid="{021AA459-7452-4769-9585-378E777473F4}">
      <text>
        <t>[Threaded comment]
Your version of Excel allows you to read this threaded comment; however, any edits to it will get removed if the file is opened in a newer version of Excel. Learn more: https://go.microsoft.com/fwlink/?linkid=870924
Comment:
    Zero $ SOW- extension of PR-008494</t>
      </text>
    </comment>
    <comment ref="B66" authorId="3" shapeId="0" xr:uid="{335F65ED-4158-4AAF-9C93-7DD1F8FA73AE}">
      <text>
        <t>[Threaded comment]
Your version of Excel allows you to read this threaded comment; however, any edits to it will get removed if the file is opened in a newer version of Excel. Learn more: https://go.microsoft.com/fwlink/?linkid=870924
Comment:
    Priya Kannan
Closed in Jan 2025</t>
      </text>
    </comment>
  </commentList>
</comments>
</file>

<file path=xl/sharedStrings.xml><?xml version="1.0" encoding="utf-8"?>
<sst xmlns="http://schemas.openxmlformats.org/spreadsheetml/2006/main" count="2489" uniqueCount="676">
  <si>
    <t>Customer</t>
  </si>
  <si>
    <t>Issue Type</t>
  </si>
  <si>
    <t>Count</t>
  </si>
  <si>
    <t>Percentage</t>
  </si>
  <si>
    <t>Yes</t>
  </si>
  <si>
    <t>Risk</t>
  </si>
  <si>
    <t>Mitigation</t>
  </si>
  <si>
    <t>HUB International MS</t>
  </si>
  <si>
    <t>The lead from WBZ is not up to the mark and few escalations happened. Replacing this lead. Way forward discussed and agreed with the customer along with AE</t>
  </si>
  <si>
    <t>JPMC Migration</t>
  </si>
  <si>
    <r>
      <rPr>
        <b/>
        <sz val="9"/>
        <color theme="1"/>
        <rFont val="Arial"/>
        <family val="2"/>
      </rPr>
      <t>Objective :</t>
    </r>
    <r>
      <rPr>
        <sz val="9"/>
        <color theme="1"/>
        <rFont val="Arial"/>
        <family val="2"/>
      </rPr>
      <t xml:space="preserve"> JPMC existing 22.04 standalone Orchestrator is to be migration to 23.10 Automation Suite 
</t>
    </r>
    <r>
      <rPr>
        <b/>
        <sz val="9"/>
        <color theme="1"/>
        <rFont val="Arial"/>
        <family val="2"/>
      </rPr>
      <t>RISK</t>
    </r>
    <r>
      <rPr>
        <sz val="9"/>
        <color theme="1"/>
        <rFont val="Arial"/>
        <family val="2"/>
      </rPr>
      <t xml:space="preserve"> - This is large scale migration </t>
    </r>
  </si>
  <si>
    <r>
      <t xml:space="preserve">Working  closely with Product team and TAM </t>
    </r>
    <r>
      <rPr>
        <b/>
        <sz val="9"/>
        <color theme="1"/>
        <rFont val="Arial"/>
        <family val="2"/>
      </rPr>
      <t xml:space="preserve">
Step 1</t>
    </r>
    <r>
      <rPr>
        <sz val="9"/>
        <color theme="1"/>
        <rFont val="Arial"/>
        <family val="2"/>
      </rPr>
      <t xml:space="preserve">: 22.4 Standalone Orchestrator (JPMC)   database to 23.10 Standalone (UiPath Test Instance)
</t>
    </r>
    <r>
      <rPr>
        <b/>
        <sz val="9"/>
        <color theme="1"/>
        <rFont val="Arial"/>
        <family val="2"/>
      </rPr>
      <t>Step 2</t>
    </r>
    <r>
      <rPr>
        <sz val="9"/>
        <color theme="1"/>
        <rFont val="Arial"/>
        <family val="2"/>
      </rPr>
      <t>: 23.10 Standalone (UiPath Test Instance)  Full Migrate to 23.10 Automation suite (JPMC new Instance)</t>
    </r>
  </si>
  <si>
    <t xml:space="preserve">HUB International </t>
  </si>
  <si>
    <t>Product Issues - Gen AI Extraction for Table and Checkboxes. This prevents Go-Live</t>
  </si>
  <si>
    <t>No</t>
  </si>
  <si>
    <t>Grand Total</t>
  </si>
  <si>
    <t xml:space="preserve">PS Note  - This is only a reference Snip - FYI only </t>
  </si>
  <si>
    <t>Total</t>
  </si>
  <si>
    <t>Discovery</t>
  </si>
  <si>
    <t>Dev</t>
  </si>
  <si>
    <t>UAT</t>
  </si>
  <si>
    <t>Hyper care</t>
  </si>
  <si>
    <t>Prod</t>
  </si>
  <si>
    <t>Sl. No</t>
  </si>
  <si>
    <t>Project Name</t>
  </si>
  <si>
    <t>Active Engagements</t>
  </si>
  <si>
    <t>JPMC</t>
  </si>
  <si>
    <t>BJ's Wholesale Club-Hybrid-100% discounted-Service Credit Prepaid-PR-005394</t>
  </si>
  <si>
    <t>Amazon  Music</t>
  </si>
  <si>
    <t>Amazon-Business 2 Busi-Fixed Price-POD-008831 - Music</t>
  </si>
  <si>
    <t>Deloitte AUS AA</t>
  </si>
  <si>
    <t>Group 1 Automotive-Time and Materials-Prepaid-010186</t>
  </si>
  <si>
    <t>Deloitte  GM</t>
  </si>
  <si>
    <t>Lydonia Te-America Fujiku-Time and Materials-POD-009156</t>
  </si>
  <si>
    <t>Deloite SF</t>
  </si>
  <si>
    <t>Lydonia Te-USI Service Co-Time and Materials-POD-008284</t>
  </si>
  <si>
    <t>Group 1</t>
  </si>
  <si>
    <t>Deloitte Global Services-Hybrid-Service Credit Prepaid-PR-008208</t>
  </si>
  <si>
    <t>CAMC Vandalia</t>
  </si>
  <si>
    <t>Intel Corporation-Time and Materials-POD-009522</t>
  </si>
  <si>
    <t>Intuit</t>
  </si>
  <si>
    <t>Intuit Inc.-Time and Materials-Prepaid-PR-008662</t>
  </si>
  <si>
    <t>Tokyo Electron</t>
  </si>
  <si>
    <t>Lydonia Te-Angelo Gordon-Time and Materials-POD-009816</t>
  </si>
  <si>
    <t xml:space="preserve">Take 2 </t>
  </si>
  <si>
    <t>Take-Two Interactive Soft-Time and Materials-Prepaid (PR-010307)</t>
  </si>
  <si>
    <t>Citizens</t>
  </si>
  <si>
    <t>Citizens Bank National A-Fixed Price-100% disc.-Service Credit Prepaid-008086</t>
  </si>
  <si>
    <t>BJ</t>
  </si>
  <si>
    <t>JP Morgan Chase(Global-Fixed Price-Service Credit Prepaid-100% Discounted-008300</t>
  </si>
  <si>
    <t>HUB</t>
  </si>
  <si>
    <t>Massachusetts Mutual Life-100%discounted-Service Credit Prepaid-008575</t>
  </si>
  <si>
    <t>Intel</t>
  </si>
  <si>
    <t>Hub International-Time and Materials-POD-009736</t>
  </si>
  <si>
    <t>Houston</t>
  </si>
  <si>
    <t>MGM Resorts International-Fixed Price-Prepaid-009499</t>
  </si>
  <si>
    <t>Homeserve</t>
  </si>
  <si>
    <t>CAMC Health System-Hybrid-POD</t>
  </si>
  <si>
    <t>Alliant</t>
  </si>
  <si>
    <t>The Promptcare Companies-Fixed Price-100% DISC-Prepaid-009890</t>
  </si>
  <si>
    <t>Promptcare</t>
  </si>
  <si>
    <t>Homeserve USA-Fixed Price-Prepaid-009745</t>
  </si>
  <si>
    <t>icertis</t>
  </si>
  <si>
    <t>Houston Methodist Hospita-Hybrid-Prepaid-100% Discounted-009695</t>
  </si>
  <si>
    <t>Wabtec</t>
  </si>
  <si>
    <t>Comcast (Cable Communicat-Fixed Price-Prepaid-009360</t>
  </si>
  <si>
    <t>Comcast</t>
  </si>
  <si>
    <t>Alliant Credit Union-Time and Materials-POD-009664</t>
  </si>
  <si>
    <t>Onity</t>
  </si>
  <si>
    <t>PepsiCo Inc-Service Credit-100% Discounted-009972</t>
  </si>
  <si>
    <t>AFL</t>
  </si>
  <si>
    <t>Lydonia Te-Snap-On Credit-Time and Materials-POD-PR-009958</t>
  </si>
  <si>
    <t>USI</t>
  </si>
  <si>
    <t>Tokyo Electron U.S. Holdi-Fixed Price-Prepaid-008051</t>
  </si>
  <si>
    <t>Snap On 1</t>
  </si>
  <si>
    <t>Onity Group Inc-Fixed Price-Prepaid-010078</t>
  </si>
  <si>
    <t>Snap On 2</t>
  </si>
  <si>
    <t>Zscaler Inc-Hybrid-Service Credit-Prepaid-100% Discounted-009841</t>
  </si>
  <si>
    <t>AG</t>
  </si>
  <si>
    <t>Apple-Fixed Price-Service Credit Prepaid 100% Discounted-PR-010148</t>
  </si>
  <si>
    <t>Pepsi Co</t>
  </si>
  <si>
    <t>FinThrive Revenue Systems-Hybrid-Service Credit Prepaid-100% Discounte-PR-009904</t>
  </si>
  <si>
    <t>FinThrive</t>
  </si>
  <si>
    <t>Equifax Agentic</t>
  </si>
  <si>
    <t>Zscaler</t>
  </si>
  <si>
    <t>Amazon - Global Freight P-Fixed Price-Prepaid-009950</t>
  </si>
  <si>
    <t>Avista</t>
  </si>
  <si>
    <t>Icertis Inc.-Fixed Price-Service Credit Prepaid</t>
  </si>
  <si>
    <t>Apple</t>
  </si>
  <si>
    <t>Amazon - TSI Automation (PS)</t>
  </si>
  <si>
    <t>Liberty</t>
  </si>
  <si>
    <t>Avista Corporation-Fixed Price-Service Credit Prepaid-100% Discounted-PR-010219</t>
  </si>
  <si>
    <t>Equifax</t>
  </si>
  <si>
    <t>Western Alliance Bank-Time and Materials-Prepaid-100%Disc-010592</t>
  </si>
  <si>
    <t>Amazon GF</t>
  </si>
  <si>
    <t>Johnson Controls Inc.  JCI - PS for Field Service  Q-898052  V.6 - DU (using GenAI Extraction)</t>
  </si>
  <si>
    <t>MGM P1</t>
  </si>
  <si>
    <t>Wabtec Corporation-Fixed Price-POD    Project ID PR-009839</t>
  </si>
  <si>
    <t>MGM P2</t>
  </si>
  <si>
    <t>The Standard-Time and Materials-Prepaid 100% Discounted-010322</t>
  </si>
  <si>
    <t>WAB</t>
  </si>
  <si>
    <t>Edgewell Personal Care Br-Fixed Price-Service Credit Prepaid-100% disc_PR-010064</t>
  </si>
  <si>
    <t>CS University</t>
  </si>
  <si>
    <t>DENSO International Ameri-Time and Materials-Prepaid-010394</t>
  </si>
  <si>
    <t>Skanska</t>
  </si>
  <si>
    <t>Micron</t>
  </si>
  <si>
    <t>Voya Services Company-Time and Materials-POD 010485</t>
  </si>
  <si>
    <t>Lydonia Te-Falvey Insuran-Time and Materials-POD-010347</t>
  </si>
  <si>
    <t>FMC Corporation-Time and Materials-POD-010491</t>
  </si>
  <si>
    <t>Liberty Mutual Insurance-Hybrid-Service Credit Prepaid-100% Discounted-005449</t>
  </si>
  <si>
    <t>Bank of America (Global)-Time and Materials-Prepaid-010590</t>
  </si>
  <si>
    <t>Skanska USA- Fixed Price-Prepaid- 100% DISC-010503</t>
  </si>
  <si>
    <t>SL. NO</t>
  </si>
  <si>
    <t>No of Customers</t>
  </si>
  <si>
    <t>Nof Projects</t>
  </si>
  <si>
    <t>SOW Type</t>
  </si>
  <si>
    <t>Status</t>
  </si>
  <si>
    <t>UIPath</t>
  </si>
  <si>
    <t>CW</t>
  </si>
  <si>
    <t>AMER</t>
  </si>
  <si>
    <t>In Progress</t>
  </si>
  <si>
    <t>Yet To Start</t>
  </si>
  <si>
    <t>MS</t>
  </si>
  <si>
    <t>Project</t>
  </si>
  <si>
    <t>Developer</t>
  </si>
  <si>
    <t>BA</t>
  </si>
  <si>
    <t>SA</t>
  </si>
  <si>
    <t>PM</t>
  </si>
  <si>
    <t>Infra Engg</t>
  </si>
  <si>
    <t>Allocated On</t>
  </si>
  <si>
    <t>Murphy Oil</t>
  </si>
  <si>
    <t>MassMutual</t>
  </si>
  <si>
    <t>Wells Fargo</t>
  </si>
  <si>
    <t>Finthrive</t>
  </si>
  <si>
    <t>Amazon Global Freight</t>
  </si>
  <si>
    <t>Gaurdian</t>
  </si>
  <si>
    <t>Vandalia</t>
  </si>
  <si>
    <t>Icertis</t>
  </si>
  <si>
    <t>Accenture FIS - Agentic/DU</t>
  </si>
  <si>
    <t>Cigna Agentic</t>
  </si>
  <si>
    <t xml:space="preserve">Micron </t>
  </si>
  <si>
    <t>Standard Insurance</t>
  </si>
  <si>
    <t>Citizens Bank</t>
  </si>
  <si>
    <t>Take 2</t>
  </si>
  <si>
    <t>FMC</t>
  </si>
  <si>
    <t xml:space="preserve">Apple </t>
  </si>
  <si>
    <t>Voya</t>
  </si>
  <si>
    <t>BOA</t>
  </si>
  <si>
    <t>JCI - Agentic</t>
  </si>
  <si>
    <t>CS  University</t>
  </si>
  <si>
    <t>Finthrive Agentic</t>
  </si>
  <si>
    <t>Endurance Services</t>
  </si>
  <si>
    <t>Denso</t>
  </si>
  <si>
    <t>J&amp;J</t>
  </si>
  <si>
    <t>BJ's</t>
  </si>
  <si>
    <t>Memorial Sloan Kettering</t>
  </si>
  <si>
    <t>WE_20 Sep</t>
  </si>
  <si>
    <t>WE_27 Sep</t>
  </si>
  <si>
    <t>WE_04 Oct</t>
  </si>
  <si>
    <t>WE_11 Oct</t>
  </si>
  <si>
    <t>FDS%</t>
  </si>
  <si>
    <t>Non-FDS%</t>
  </si>
  <si>
    <t>FTE</t>
  </si>
  <si>
    <t>Oct '24</t>
  </si>
  <si>
    <t>Nov '24</t>
  </si>
  <si>
    <t>Dec '24</t>
  </si>
  <si>
    <t>Project by Delivery Region</t>
  </si>
  <si>
    <t>Projects by Contract Type</t>
  </si>
  <si>
    <t>Row Labels</t>
  </si>
  <si>
    <t>Count of Project Name</t>
  </si>
  <si>
    <t>India</t>
  </si>
  <si>
    <t>Fixed Fee</t>
  </si>
  <si>
    <t>India/US</t>
  </si>
  <si>
    <t>Service Credit</t>
  </si>
  <si>
    <t>T&amp;M</t>
  </si>
  <si>
    <t>Project by Type</t>
  </si>
  <si>
    <t>Delivery</t>
  </si>
  <si>
    <t>Staff Aug</t>
  </si>
  <si>
    <t>Service/Product Type</t>
  </si>
  <si>
    <t>Yet to Start</t>
  </si>
  <si>
    <t>Core</t>
  </si>
  <si>
    <t>Platform Migration</t>
  </si>
  <si>
    <t>On HOLD</t>
  </si>
  <si>
    <t>Core RPA</t>
  </si>
  <si>
    <t>Growth</t>
  </si>
  <si>
    <t>Agentic</t>
  </si>
  <si>
    <t>Apps, API</t>
  </si>
  <si>
    <t>Comms Mining</t>
  </si>
  <si>
    <t>DU/Gen AI</t>
  </si>
  <si>
    <t>Area</t>
  </si>
  <si>
    <t>Column Labels</t>
  </si>
  <si>
    <t>AMER SUMMIT</t>
  </si>
  <si>
    <t>Joseph Yoon</t>
  </si>
  <si>
    <t>Non-Strikezone</t>
  </si>
  <si>
    <t>Strikezone</t>
  </si>
  <si>
    <t>AMER FINS</t>
  </si>
  <si>
    <t>AMER Commercial</t>
  </si>
  <si>
    <t>AMER HLS</t>
  </si>
  <si>
    <t>AMER GSI</t>
  </si>
  <si>
    <t>AMER Public Sector</t>
  </si>
  <si>
    <t>UiPath Inc</t>
  </si>
  <si>
    <t>Chris Heller</t>
  </si>
  <si>
    <t>US Lead</t>
  </si>
  <si>
    <t>Andrew Clemmensen</t>
  </si>
  <si>
    <t>Project Delivery</t>
  </si>
  <si>
    <t>Project ID</t>
  </si>
  <si>
    <t>Account</t>
  </si>
  <si>
    <t>Account Exec</t>
  </si>
  <si>
    <t>GTM</t>
  </si>
  <si>
    <t>Customer  SPOC</t>
  </si>
  <si>
    <t>Backlog [Delivered Value]</t>
  </si>
  <si>
    <t>Deal Value</t>
  </si>
  <si>
    <t>Growth/Core</t>
  </si>
  <si>
    <t>SZ/NSZ</t>
  </si>
  <si>
    <t>Project Type</t>
  </si>
  <si>
    <t>Delivery Region</t>
  </si>
  <si>
    <t>Contract Type</t>
  </si>
  <si>
    <t xml:space="preserve">Resources
FTE </t>
  </si>
  <si>
    <t>Resources
CW</t>
  </si>
  <si>
    <t>RAG Status</t>
  </si>
  <si>
    <t>Issues</t>
  </si>
  <si>
    <t>Comments</t>
  </si>
  <si>
    <t>SOW Signed on</t>
  </si>
  <si>
    <t>Project End date</t>
  </si>
  <si>
    <t>Project Manager</t>
  </si>
  <si>
    <t>Intl - AMER</t>
  </si>
  <si>
    <t>PR-010592</t>
  </si>
  <si>
    <t>Western Alliance Bank</t>
  </si>
  <si>
    <t>Carl Zauner</t>
  </si>
  <si>
    <t>Nolyn Croy</t>
  </si>
  <si>
    <t>Green</t>
  </si>
  <si>
    <t>Agenic Use case - 2 developers  requested from PS India likely to start in last week of Oct 2025, per PS US PM</t>
  </si>
  <si>
    <t>Test - AMER</t>
  </si>
  <si>
    <t>PR-009742</t>
  </si>
  <si>
    <t>Wells Fargo (Global)</t>
  </si>
  <si>
    <t>Wells Fargo (Global)-Hybrid-Service Credit-100% Disc- Prepaid-009742</t>
  </si>
  <si>
    <t xml:space="preserve">Migration Completed </t>
  </si>
  <si>
    <t>PR-010485</t>
  </si>
  <si>
    <t>Voya Services Company</t>
  </si>
  <si>
    <t>Angela Li</t>
  </si>
  <si>
    <t>Guy Conille
guy.conille@uipath.com</t>
  </si>
  <si>
    <t>Deveopment in Progress</t>
  </si>
  <si>
    <t>PR-010169</t>
  </si>
  <si>
    <t>Voya Services Company-Hybrid-Prepaid 100% Discounted-010169</t>
  </si>
  <si>
    <t>Aaron Greenblatt</t>
  </si>
  <si>
    <t>Lisa Goodman</t>
  </si>
  <si>
    <t>Pratik Kothari</t>
  </si>
  <si>
    <t>Training</t>
  </si>
  <si>
    <t>Nisha Shweta</t>
  </si>
  <si>
    <t>PR-010309</t>
  </si>
  <si>
    <t>Equifax Inc.</t>
  </si>
  <si>
    <t>Verdad Informatica de Cos-Fixed Price-POD-010309</t>
  </si>
  <si>
    <t>Kristin Collins</t>
  </si>
  <si>
    <t>PR-009439</t>
  </si>
  <si>
    <t>Veolia WTS Services USA</t>
  </si>
  <si>
    <t>Veolia WTS USA Inc.-Fixed Price-POD-009439</t>
  </si>
  <si>
    <t>Jim Stricker</t>
  </si>
  <si>
    <t>Spencer Miller</t>
  </si>
  <si>
    <t>Trevor Tom
trevor.tom@veolia.com</t>
  </si>
  <si>
    <t>Tokyo Electron U.S. Holdi-Hybrid-Prepaid-008051</t>
  </si>
  <si>
    <t>PR-009891</t>
  </si>
  <si>
    <t>The Promptcare Companies Inc</t>
  </si>
  <si>
    <t>The Promptcare Companies-Fixed Price-Prepaid-009891</t>
  </si>
  <si>
    <t>Jonathan Harrison</t>
  </si>
  <si>
    <t>Phill Merrell
pmerrell@promptcare.net</t>
  </si>
  <si>
    <t>All India Staffing - DU</t>
  </si>
  <si>
    <t>PR-009890</t>
  </si>
  <si>
    <t>PR-009919</t>
  </si>
  <si>
    <t>Tenet Business Services Corporation</t>
  </si>
  <si>
    <t>Tenet Business Services C-Time and Materials-Prepaid-PR-009919</t>
  </si>
  <si>
    <t>Clinton Brown</t>
  </si>
  <si>
    <t>Plott, Todd todd.plott@tenethealth.net</t>
  </si>
  <si>
    <t>PR-010545</t>
  </si>
  <si>
    <t>Tenet Business Services C-Fixed Price-Prepaid-010545</t>
  </si>
  <si>
    <t>Post go live Managed Services Support</t>
  </si>
  <si>
    <t>PR-010393</t>
  </si>
  <si>
    <t>Take-Two Interactive Software, Inc.</t>
  </si>
  <si>
    <t>Take-Two Interactive Soft-Time and Materials-Prepaid (PR-010393)</t>
  </si>
  <si>
    <t>Aman Alagh</t>
  </si>
  <si>
    <t>Parag Khairnar
parag.khairnar@take2games.com</t>
  </si>
  <si>
    <t>Staff Aug Project - YoY renewal with PS India Staffing,Since 2022, Core RPA use cases</t>
  </si>
  <si>
    <t>PR-009051</t>
  </si>
  <si>
    <t>Take-Two Interactive Soft-Time and Materials-Prepaid (PR-010308)</t>
  </si>
  <si>
    <t>PR-010307</t>
  </si>
  <si>
    <t>PR-010503</t>
  </si>
  <si>
    <t>Skanska USA</t>
  </si>
  <si>
    <t>PSSD-1067 - Internal Cross Charge - Micron Automation Hub Migration</t>
  </si>
  <si>
    <t>PR-010111</t>
  </si>
  <si>
    <t>PACCAR Inc.</t>
  </si>
  <si>
    <t>PACCAR Inc.-Time and Materials-Prepaid-100% Discounted-PR-010111</t>
  </si>
  <si>
    <t>Ryan Cousins</t>
  </si>
  <si>
    <t>Abhijit.Chaporka  Abhijit.Chaporkar@PACCAR.com</t>
  </si>
  <si>
    <t>PR-010897</t>
  </si>
  <si>
    <t>PACCAR Inc.-Fixed Fee-Prepaid-010897</t>
  </si>
  <si>
    <t>MGM Resorts International-T&amp;M-Prepaid-100% discounted -010468</t>
  </si>
  <si>
    <t>MemorialCare Health Syste-Fixed Price-Prepaid-PR-006221</t>
  </si>
  <si>
    <t>core</t>
  </si>
  <si>
    <t>PR-008575</t>
  </si>
  <si>
    <t>Massachusetts Mutual Life Insurance Company</t>
  </si>
  <si>
    <t>Matthew Dirubio</t>
  </si>
  <si>
    <t>Arthur Riel
ariel11@massmutual.com</t>
  </si>
  <si>
    <t>Technical support, feasibility assessment, POC's, our SA's will support and guide customers with Design and deployment initialy 1 SA with 50% was deployed, In Sep '25 added 1 fulltime SA</t>
  </si>
  <si>
    <t>PR-010227</t>
  </si>
  <si>
    <t>Snap-On Credit LLC</t>
  </si>
  <si>
    <t>Lydonia Te-Snap-On Credit-Time and Materials-POD-PR-010227</t>
  </si>
  <si>
    <t>Elliott Davis</t>
  </si>
  <si>
    <t>Kevin Scannell
kevin@lydonia.ai</t>
  </si>
  <si>
    <t>Implementation of DU and Core RPA use cases, SA and Dev , being renewed for last 2 years with PS India</t>
  </si>
  <si>
    <t>PR-009958</t>
  </si>
  <si>
    <t>PR-010347</t>
  </si>
  <si>
    <t>Falvey Insurance Group</t>
  </si>
  <si>
    <t xml:space="preserve">
Zach Elkinson</t>
  </si>
  <si>
    <t>Michael Mullaney
mmullaney@glanbia.ie</t>
  </si>
  <si>
    <t>PR-010716</t>
  </si>
  <si>
    <t>Angelo Gordon US</t>
  </si>
  <si>
    <t>Lydonia Te-Angelo Gordon-Time and Materials-POD-010716</t>
  </si>
  <si>
    <t>Implemenattion of Core RPA use cases from PS India - All inidia Staffing, being renewed for last 3 tears with PS India</t>
  </si>
  <si>
    <t>PR-010150</t>
  </si>
  <si>
    <t>America Fujikura Ltd</t>
  </si>
  <si>
    <t>Lydonia Te-America Fujiku-Time and Materials-POD-010150</t>
  </si>
  <si>
    <t>PR-009156</t>
  </si>
  <si>
    <t>Behrad Shahnavaz</t>
  </si>
  <si>
    <t>PR-005449</t>
  </si>
  <si>
    <t>Liberty Mutual Insurance</t>
  </si>
  <si>
    <t>Andrew Warren</t>
  </si>
  <si>
    <t>george.kochiii@libertymutual.com</t>
  </si>
  <si>
    <t xml:space="preserve"> Apps and API's are extensively used in the automation, 1 developer from PS India is supporting with the development, frequent changes from customer are being incorporated and moving ahead.</t>
  </si>
  <si>
    <t>PR-010216</t>
  </si>
  <si>
    <t>Leica Microsystems Inc.</t>
  </si>
  <si>
    <t>Leica Microsystems Inc.-Time and Materials-Prepaid-PR-010216</t>
  </si>
  <si>
    <t>Managed Service Project</t>
  </si>
  <si>
    <t>PR-008300</t>
  </si>
  <si>
    <t>JP Morgan Chase (Global)</t>
  </si>
  <si>
    <t>shefali.shah@jpmchase.com</t>
  </si>
  <si>
    <t xml:space="preserve">PS India staffs engaged with JPMC Platforms team in fulfilling the automation requirements coming in from intrnal BU's, includes Core RPA, DU, Agentic, ON Preom  to cloud migration and Infra support, needs close coordination with TAM, Product and JPMMC Platforms </t>
  </si>
  <si>
    <t>PR-010614</t>
  </si>
  <si>
    <t>Johnson Controls, Inc.</t>
  </si>
  <si>
    <t>Johnson Controls Inc.-Fixed Price-Postpaid-010614</t>
  </si>
  <si>
    <t>Steven Lawrence</t>
  </si>
  <si>
    <t>Navroop Kaur Bal
navroop.kaur.bal@jci.com</t>
  </si>
  <si>
    <t>PR-010644</t>
  </si>
  <si>
    <t>J&amp;J World HQ-NJ</t>
  </si>
  <si>
    <t>J&amp;J World HQ-NJ-Time and Materials-Prepaid-010644</t>
  </si>
  <si>
    <t>Kostas Kouiroukidis</t>
  </si>
  <si>
    <t>Venkatesan Jayaraman
vjayara2@its.jnj.com</t>
  </si>
  <si>
    <t>PR-008662</t>
  </si>
  <si>
    <t>Tylor Basas</t>
  </si>
  <si>
    <t>Maaly Mohamed
maaly_mohamed@intuit.com</t>
  </si>
  <si>
    <t>Staff Aug Project being supported for the past 3 years, YoY renewal, Core RPA use cases</t>
  </si>
  <si>
    <t>PR-010414</t>
  </si>
  <si>
    <t>Intuit Inc.-Time and Materials-Prepaid - PR-010414</t>
  </si>
  <si>
    <t>Brittney Thurman</t>
  </si>
  <si>
    <t>Jean Cote
jean-henri_cote@intuit.com</t>
  </si>
  <si>
    <t>Staff Aug Project being supported for the past 3 years, YoY renewal, Core RPA use cases, Agentic being explored with the help of AE, TAM and Product teams</t>
  </si>
  <si>
    <t>Intel Corporation</t>
  </si>
  <si>
    <t>Zach Venard</t>
  </si>
  <si>
    <t>Shah, Siddharth
siddharth.shah@intel.com</t>
  </si>
  <si>
    <t>Implementation of DU, ML and Core RPA use cases from PS India, being renewed YoY for the past 3 years</t>
  </si>
  <si>
    <t>PR-009786</t>
  </si>
  <si>
    <t>Icertis, Inc.</t>
  </si>
  <si>
    <t>Lawrence Dixon</t>
  </si>
  <si>
    <t>Todd Smith
todd.smith@icertis.com</t>
  </si>
  <si>
    <t>Implementation of DU Use case and explorig ROI of 10 use cases accorss Finance and HR domains - All Indi Staffig</t>
  </si>
  <si>
    <t>Hub International</t>
  </si>
  <si>
    <t>Hub International-Time and Materials-Postpaid-PR-010758</t>
  </si>
  <si>
    <t>John Pellettiere</t>
  </si>
  <si>
    <t>Hub International-Time and Materials-POD-PR-009743</t>
  </si>
  <si>
    <t>Hub International-Hybrid-POD-010346</t>
  </si>
  <si>
    <t>india</t>
  </si>
  <si>
    <t>Hub International-Fixed Price-Prepaid-PR-005338</t>
  </si>
  <si>
    <t>PR-010535</t>
  </si>
  <si>
    <t>Guardian Life Insurance Company of America Inc</t>
  </si>
  <si>
    <t>Guardian Life Insurance C-Time and Materials-Prepaid-010535</t>
  </si>
  <si>
    <t>Ryan Garnett</t>
  </si>
  <si>
    <t>Vinoth Krishnan</t>
  </si>
  <si>
    <t>PR-010186</t>
  </si>
  <si>
    <t>Group 1 Automotive</t>
  </si>
  <si>
    <t>Lindsay Kincy</t>
  </si>
  <si>
    <t>Al Omari
aomari@group1auto.com</t>
  </si>
  <si>
    <t>Staff Aug Project being renewed YoY since 2023, core RPA use cases supported by PS India staff</t>
  </si>
  <si>
    <t>PR-009073</t>
  </si>
  <si>
    <t>Google Inc.-Fixed Price-Prepaid-100% Discounted-009073</t>
  </si>
  <si>
    <t>Red</t>
  </si>
  <si>
    <t>Alain Herrera</t>
  </si>
  <si>
    <t>PR-009904</t>
  </si>
  <si>
    <t>FinThrive Revenue Systems, LLC</t>
  </si>
  <si>
    <t>Robert Lord</t>
  </si>
  <si>
    <t>Lindsay Galvin</t>
  </si>
  <si>
    <t>Michael Waluk
michael.waluk@finthrive.com</t>
  </si>
  <si>
    <t>PR-010528</t>
  </si>
  <si>
    <t>Endurance Services Limited</t>
  </si>
  <si>
    <t>Endurance Services Limite-Fixed Price-POD-PR-010520</t>
  </si>
  <si>
    <t>Graham Newby</t>
  </si>
  <si>
    <t>Joseph Fox jfox@sompo-intl.com</t>
  </si>
  <si>
    <t>Implementation of DU usecase</t>
  </si>
  <si>
    <t>PR-010064</t>
  </si>
  <si>
    <t>Edgewell Personal Care Brands, LLC</t>
  </si>
  <si>
    <t>Timothy Hulbert</t>
  </si>
  <si>
    <t>Brian Mazdra
brian.mazdra@edgewell.com</t>
  </si>
  <si>
    <t>PR-010396</t>
  </si>
  <si>
    <t>DENSO International America, Inc.</t>
  </si>
  <si>
    <t>DENSO International Ameri-Time and Materials-Prepaid-010396</t>
  </si>
  <si>
    <t>Chris Leblanc</t>
  </si>
  <si>
    <t>Jonathan Tylutki
jonathan.tylutki@na.denso.com</t>
  </si>
  <si>
    <t>PR-010394</t>
  </si>
  <si>
    <t>PR-008208</t>
  </si>
  <si>
    <t>Deloitte Global Services LLP</t>
  </si>
  <si>
    <t>Erika Laughlin</t>
  </si>
  <si>
    <t xml:space="preserve">
Ragu Gurumurthy
rgurumurthy@deloitte.com
</t>
  </si>
  <si>
    <t>Delivery of Assignment Generation and Governance and Compliance  use cases
Completed Phase I &amp; II , CR Phase 1 completed and Phase 2 in progress</t>
  </si>
  <si>
    <t>PR-009807</t>
  </si>
  <si>
    <t>Deloitte Consulting, LLP</t>
  </si>
  <si>
    <t>Deloitte Consulting LLP-Hybrid-Service Credit Prepaid- 100% Discounted-009807</t>
  </si>
  <si>
    <t>Amber</t>
  </si>
  <si>
    <t>PR-009360</t>
  </si>
  <si>
    <t>Comcast (Cable Communications)</t>
  </si>
  <si>
    <t>Comcast (Cable Communicat-Fixed Price-Prepaid 100% Discounted-009360</t>
  </si>
  <si>
    <t>Jessica Madigan</t>
  </si>
  <si>
    <t>Sandra Lau
sandra_lau@comcast.com</t>
  </si>
  <si>
    <t>Implementation of Core RPA use cases - BA&lt; SA and 2 Devs from India, US PM</t>
  </si>
  <si>
    <t>PR-008086</t>
  </si>
  <si>
    <t>Citizens Bank, National Association</t>
  </si>
  <si>
    <t>Matthew Lavoie
matthew.d.lavoie@citizensbank</t>
  </si>
  <si>
    <t>BP to UiPath Migrations, new impelmentations, functionality enhancements of BOT's already deployed in Prod</t>
  </si>
  <si>
    <t>PR-0101280</t>
  </si>
  <si>
    <t>CIGNA</t>
  </si>
  <si>
    <t>CIGNA-Hybrid-Service Credit Prepaid-100% Discounted-PR-010280</t>
  </si>
  <si>
    <t>Ryan Poole</t>
  </si>
  <si>
    <t>Project on Hold due to technical feasibility, Product team has responded not feasible to automate through Agentic</t>
  </si>
  <si>
    <t>PR-010537</t>
  </si>
  <si>
    <t>Columbus State University: GEORGIA BOARD OF REGENTS</t>
  </si>
  <si>
    <t>Jack Persinger</t>
  </si>
  <si>
    <t>Ted Laskaris
laskaris_theodore@columbusstate.edu</t>
  </si>
  <si>
    <t>BJ's Wholesale Club</t>
  </si>
  <si>
    <t>Dave Giannattasio</t>
  </si>
  <si>
    <t>Almost all growth Products being explored and implemented from Test Suite, DU, Gen AI, Agentic, Comms Mining , Context Grounding etc. SA BA Dev from PS India - PM frm PS US</t>
  </si>
  <si>
    <t>PR-010590</t>
  </si>
  <si>
    <t>Bank of America (Global)</t>
  </si>
  <si>
    <t>Nye Allen
nye.allen@bofa.com</t>
  </si>
  <si>
    <t>PR-010219</t>
  </si>
  <si>
    <t>Avista Corporation</t>
  </si>
  <si>
    <t>Zane Bushnell</t>
  </si>
  <si>
    <t>Jason Pegg
ason.pegg@avistacorp.com</t>
  </si>
  <si>
    <t>PR-010148</t>
  </si>
  <si>
    <t>Ryan Edmundowicz</t>
  </si>
  <si>
    <t>Bosco D'Silva
bdsilva@apple.com</t>
  </si>
  <si>
    <t>Implementation of Core RPA use cases, SA and Developers from PS India - BA and PM from PS US</t>
  </si>
  <si>
    <t>Aon Service Corporation-Fixed Price-POD-PR-010442</t>
  </si>
  <si>
    <t>PR-009950</t>
  </si>
  <si>
    <t>Amazon - Global Freight Partner Program</t>
  </si>
  <si>
    <t>Mohammed Danish Majeed</t>
  </si>
  <si>
    <t>Project on Hold due to challenges in enabling infra access - Complete PS Indi Staff</t>
  </si>
  <si>
    <t>Hitesh Kumar</t>
  </si>
  <si>
    <t>PR-009664</t>
  </si>
  <si>
    <t>Alliant Credit Union</t>
  </si>
  <si>
    <t>Implementation of Core RPA use cases - SA and 2 Devs from India, US PM and BA</t>
  </si>
  <si>
    <t>Closed Date</t>
  </si>
  <si>
    <t>Hub International-Service Credit Prepaid-100% Discounted-PR-007973</t>
  </si>
  <si>
    <t>Gen AI/DU/IDP</t>
  </si>
  <si>
    <t>Closed</t>
  </si>
  <si>
    <t>Paychex Inc-Hybrid-Service Credit Prepaid-100% discounted-005396</t>
  </si>
  <si>
    <t>Hub International-Time and Materials-POD-009283</t>
  </si>
  <si>
    <t>Hub International-Time and Materials-POD-PR-008841</t>
  </si>
  <si>
    <t>Lydonia Te-America Fujiku-Time and Materials-POD-008092</t>
  </si>
  <si>
    <t>PACCAR Inc-Fixed Price-Prepaid-008152</t>
  </si>
  <si>
    <t>PACCAR Inc-Time and Materials-Prepaid-006270</t>
  </si>
  <si>
    <t>Prudential USA-Time and Materials-Prepaid-006219</t>
  </si>
  <si>
    <t>RWJBH Corporate Services-Fixed Price-Partial Prepaid-008541</t>
  </si>
  <si>
    <t>Tenet Health-Fixed Price-Partial-Prepaid-007914</t>
  </si>
  <si>
    <t>On Hold</t>
  </si>
  <si>
    <t>Workday Inc-Fixed Price-POD-008494</t>
  </si>
  <si>
    <t>WEX Inc-Hybrid-Prepaid-008995</t>
  </si>
  <si>
    <t>Weitzman Management Corp-Fixed Price-POD-009016</t>
  </si>
  <si>
    <t>Motiva Enterprises LLC-Fixed Price-Partial Prepaid-009024</t>
  </si>
  <si>
    <t>Intel Corporation-Hybrid-Service Credit Prepaid-005996</t>
  </si>
  <si>
    <t>Bank of America (Global)-Time and Materials-Prepaid-008428</t>
  </si>
  <si>
    <t>Intuit Inc-Time and Materials-Cust Success-Prepaid-PR-005042</t>
  </si>
  <si>
    <t>Leica Microsystems Inc-Time and Materials-Prepaid-PR-006189</t>
  </si>
  <si>
    <t>Lydonia Te-Snap-On Credit-Time and Materials-POD-008197</t>
  </si>
  <si>
    <t>The Dow Chemical Company-Fixed Price-Prepaid-008658</t>
  </si>
  <si>
    <t>The Dow Chemical Company-Service Credit Prepaid-008497</t>
  </si>
  <si>
    <t>E. &amp; J. Gallo-Fixed Price-Prepaid-009309</t>
  </si>
  <si>
    <t>Bank of America (Global)-Time and Materials-POD-007882</t>
  </si>
  <si>
    <t>Infra &amp; Platform Migration</t>
  </si>
  <si>
    <t>To Be Closed</t>
  </si>
  <si>
    <t>Project status be makred as Closed in SFDC</t>
  </si>
  <si>
    <t>TMHCC-Fixed Price-Prepaid-009596</t>
  </si>
  <si>
    <t>India/US/Latam</t>
  </si>
  <si>
    <t>Project ON HOLD - Noa Olson</t>
  </si>
  <si>
    <t>Wabtec Corporation-Hybrid-Prepaid-100% Discounted-009666</t>
  </si>
  <si>
    <t>Continental Resources-Fixed Price-Service Credit Prepaid 100% discounted-007899</t>
  </si>
  <si>
    <t>Group 1 Automotive-Time and Materials-POD-008091</t>
  </si>
  <si>
    <t>Lydonia Te-Snap-On Credit-Time and Materials-POD-009050</t>
  </si>
  <si>
    <t>Tenet Business Services C-100% dicounted-Fixed Price-Prepaid-008032</t>
  </si>
  <si>
    <t>Qatar International Islam-Fixed Price-Prepaid-009237</t>
  </si>
  <si>
    <t>Test Automation</t>
  </si>
  <si>
    <t>Ingram Mic-Vertiv Energy-Fixed Price-Prepaid-008184</t>
  </si>
  <si>
    <t>Process Mining</t>
  </si>
  <si>
    <t>Carahsoft-New York Power-Fixed-POD-005090</t>
  </si>
  <si>
    <t>Fresenius Medical Care Ho-Hybrid-Service Credit Prepaid-100% discounted-007929</t>
  </si>
  <si>
    <t>Competitive Migration</t>
  </si>
  <si>
    <t>BP to UiPath</t>
  </si>
  <si>
    <t>Take-Two Interactive Soft-Hybrid-Prepaid-008816</t>
  </si>
  <si>
    <t>Bank of America (Global)-Time and Materials-Prepaid-009525</t>
  </si>
  <si>
    <t>Vialto Partners-Hybrid-Service Credit Prepaid-100% Discounted-006378</t>
  </si>
  <si>
    <t>Take-Two Interactive Soft-Time and Materials-Prepaid-008666</t>
  </si>
  <si>
    <t>BetterUp Inc-Hybrid-Service Credit Prepaid-004953</t>
  </si>
  <si>
    <t>Workday Inc.-Fixed Price-Prepaid 100% Discounted-009613</t>
  </si>
  <si>
    <t>Group 1 Automotive-Time and Materials-POD-008966</t>
  </si>
  <si>
    <t>DENSO International Ameri-Time and Materials-Prepaid-006333</t>
  </si>
  <si>
    <t>Intuit Inc.-Time and Materials-Prepaid-100% Discounted-009564</t>
  </si>
  <si>
    <t>Nissan North America-Time and Materials-Prepaid-PR-007895</t>
  </si>
  <si>
    <t>Lydonia Te-Angelo Gordon-T&amp;M-POD-008729</t>
  </si>
  <si>
    <t>Leica Microsystems Inc.-Time and Materials-Prepaid-008832</t>
  </si>
  <si>
    <t>Amazon-Business 2 Busi-Fixed Price-POD-008831</t>
  </si>
  <si>
    <t>Hub International-Time and Materials-POD-PR-009736</t>
  </si>
  <si>
    <t>PACCAR Inc.-Fixed Price-Prepaid-009306</t>
  </si>
  <si>
    <t>Take-Two Interactive Soft-Time and Materials-Prepaid-009051</t>
  </si>
  <si>
    <t>Veolia WTS Services USA-Fixed Price-POD-008558</t>
  </si>
  <si>
    <t>Tenet Business Services C-Fixed Price-Prepaid-010122</t>
  </si>
  <si>
    <t>Bank of New York Mellon-Hybrid-SC Prepaid-100% discounted-3 year-PR-004868</t>
  </si>
  <si>
    <t>CAMC Health System-Hybrid-POD-009689</t>
  </si>
  <si>
    <t>CareSource</t>
  </si>
  <si>
    <t xml:space="preserve">Intel Corporation-Time and Materials-Postpaid-010989 </t>
  </si>
  <si>
    <t>Sandip</t>
  </si>
  <si>
    <t>Kamal</t>
  </si>
  <si>
    <t>Thiyag</t>
  </si>
  <si>
    <t>HCA – Information Technol-Hybrid-Service Credit Prepaid-004732</t>
  </si>
  <si>
    <t>Ascension Health Alliance-Hybrid-Service Credit Prepaid-100%Disc-010972</t>
  </si>
  <si>
    <t>CAMC Health System-Fixed Price-Postpaid-011038</t>
  </si>
  <si>
    <t>HCA Information Technology &amp; Services, Inc.</t>
  </si>
  <si>
    <t>PR-004732</t>
  </si>
  <si>
    <t>PR-010972</t>
  </si>
  <si>
    <t>Ascension Health Alliance</t>
  </si>
  <si>
    <t>CAMC Health System</t>
  </si>
  <si>
    <t>Dannie Aschenbrener</t>
  </si>
  <si>
    <t>Gagan Singh, 
gagan.singh@ascension.org</t>
  </si>
  <si>
    <t>Susan Belovich</t>
  </si>
  <si>
    <t>Daniel Alexander
daniel.alexander@hcahealthcare.com</t>
  </si>
  <si>
    <t>PR-011038</t>
  </si>
  <si>
    <t>Nawal Alami</t>
  </si>
  <si>
    <t xml:space="preserve">Jeff Cox
jeff.cox@vandaliahealth.org
</t>
  </si>
  <si>
    <t>PR-010989</t>
  </si>
  <si>
    <t>Charlie Hirsch</t>
  </si>
  <si>
    <t>Sreedhar Lakkavaram</t>
  </si>
  <si>
    <t>Aditya Kottapalli</t>
  </si>
  <si>
    <t>Noa Olson</t>
  </si>
  <si>
    <t>Xiwen Shui</t>
  </si>
  <si>
    <t>Guy Conille</t>
  </si>
  <si>
    <t>Kristen Casterline</t>
  </si>
  <si>
    <t>Whitney Holmes</t>
  </si>
  <si>
    <t>Juan Garay</t>
  </si>
  <si>
    <t>PSSD-1137- Internal Cross Charge - Automations for Internal ProServe-010925</t>
  </si>
  <si>
    <t>PR-010925</t>
  </si>
  <si>
    <t>Internal</t>
  </si>
  <si>
    <t>Bruno Costa</t>
  </si>
  <si>
    <t>PS is building internal automation onPO, MCF, invoice approvals to support subcons, vendors and partner passthrough</t>
  </si>
  <si>
    <t>Harsha Srikantan</t>
  </si>
  <si>
    <t>Total Quality Logistics-Hybrid-Service Credit Prepaid-100%Disc-PR-010548</t>
  </si>
  <si>
    <t>PR-010548</t>
  </si>
  <si>
    <t>Total Quality Logistics</t>
  </si>
  <si>
    <t>Brandon Sage</t>
  </si>
  <si>
    <t>Implementation of DU / IXP use cases</t>
  </si>
  <si>
    <t>Memorial Sloan Kettering-Time and Materials-Prepaid-PR-010757</t>
  </si>
  <si>
    <t>PR-010757</t>
  </si>
  <si>
    <t>Memorial Sloan Kettering Cancer Center</t>
  </si>
  <si>
    <t>Implementation of DU / IXP use cases - We're using Modern DU for document splitting and IXP for extracting patient demographics information.- PAS0002_DocumentClassificationAndSplitting</t>
  </si>
  <si>
    <t>Agentic implementation yet to start and to be Staffed</t>
  </si>
  <si>
    <t>DU/IXP implementation, Dev onboarding in progress</t>
  </si>
  <si>
    <t>ExxonMobil (Global)-Hybrid-Service Credit Prepaid-100%Disc-011039</t>
  </si>
  <si>
    <t>PR-011039</t>
  </si>
  <si>
    <t>ExxonMobil (Global)</t>
  </si>
  <si>
    <t>Test Suite implementation</t>
  </si>
  <si>
    <t>Saysha Reyes Chica</t>
  </si>
  <si>
    <t>Sam Ghosh</t>
  </si>
  <si>
    <t>Accenture India-Time and Materials-Prepaid-100%Disc-011265</t>
  </si>
  <si>
    <t>PR-011265</t>
  </si>
  <si>
    <t>Accenture India</t>
  </si>
  <si>
    <t>Girish Kumar J</t>
  </si>
  <si>
    <t>PR-011233</t>
  </si>
  <si>
    <t>IntegriChain Inc-Fixed Fee-Postpaid-011233</t>
  </si>
  <si>
    <t>IntegriChain Inc</t>
  </si>
  <si>
    <t>William Robinson</t>
  </si>
  <si>
    <t>Pilot implementaion of Core RPA and Agentic Use case</t>
  </si>
  <si>
    <t>CareSource-Time and Materials-Prepaid-010980</t>
  </si>
  <si>
    <t>PR-010980</t>
  </si>
  <si>
    <t>Christopher Bingham</t>
  </si>
  <si>
    <t>Pranay Jauhri
pranay.jauhri@caresource.com</t>
  </si>
  <si>
    <t>DU/IXP implementation  in progress</t>
  </si>
  <si>
    <t>XP/GenAI/Comms Mining</t>
  </si>
  <si>
    <t>Test Cloud</t>
  </si>
  <si>
    <t>BJ's Wholesale Club.-Hybrid-Service Credit Prepaid-100%Disc-010835</t>
  </si>
  <si>
    <t>PR-010835</t>
  </si>
  <si>
    <t>Monica Schwartz</t>
  </si>
  <si>
    <t>Icertis Inc.-Hybrid-Service Credit Prepaid-PR-009786</t>
  </si>
  <si>
    <t>Access Telecare LLC-Hybrid-Postpaid-011298</t>
  </si>
  <si>
    <t>PR-011298</t>
  </si>
  <si>
    <t>Access Telecare, LLC</t>
  </si>
  <si>
    <t>Colby LaCouture</t>
  </si>
  <si>
    <t>Andy Garlington
Email bounced. Update the email address and try again.andy.garlington@accesstelecare.com</t>
  </si>
  <si>
    <t>Agentic implementation in MAC yet to start and to be Staffed</t>
  </si>
  <si>
    <t>Hub International-Fixed Price-Postpaid-011316</t>
  </si>
  <si>
    <t>PR-011316</t>
  </si>
  <si>
    <t>Seth McCallister
seth.mccallister@hubinternational.com</t>
  </si>
  <si>
    <t>Managed Services delivered by WBZ</t>
  </si>
  <si>
    <t>Zach Elkinson</t>
  </si>
  <si>
    <t>%</t>
  </si>
  <si>
    <t>PM Geo</t>
  </si>
  <si>
    <t>US</t>
  </si>
  <si>
    <t>On Tracl</t>
  </si>
  <si>
    <t>At Risk</t>
  </si>
  <si>
    <t>Delayed</t>
  </si>
  <si>
    <t>Completed All Time</t>
  </si>
  <si>
    <t>Blocked</t>
  </si>
  <si>
    <t>PS India GDH - AMER Delivery Overview</t>
  </si>
  <si>
    <t>On Track</t>
  </si>
  <si>
    <t>IXP / Comms Mining</t>
  </si>
  <si>
    <t>Service Type</t>
  </si>
  <si>
    <t>Contract Value</t>
  </si>
  <si>
    <t>ContractType</t>
  </si>
  <si>
    <t>Project Stage</t>
  </si>
  <si>
    <t>Project Health</t>
  </si>
  <si>
    <t>Google Inc</t>
  </si>
  <si>
    <t>Development</t>
  </si>
  <si>
    <t>Objective of PS</t>
  </si>
  <si>
    <t>IXP/GenAI/Comms Mining</t>
  </si>
  <si>
    <t>ARR</t>
  </si>
  <si>
    <t>ON HOLD</t>
  </si>
  <si>
    <t>Total Active Projects</t>
  </si>
  <si>
    <t>delivery shifted to Exxon Mobil PR-011039</t>
  </si>
  <si>
    <t>Remaining Budget</t>
  </si>
  <si>
    <t>Live</t>
  </si>
  <si>
    <t>Agentic implementation</t>
  </si>
  <si>
    <t>RPA, DU, Test Suite and Apps implementations</t>
  </si>
  <si>
    <t>Test suite implementation for application testing</t>
  </si>
  <si>
    <t>RPA, DU, IXP based automation implementations</t>
  </si>
  <si>
    <t>RPA automation implementation and Technical advisory services</t>
  </si>
  <si>
    <t>On Prem to dedicated Saas migration</t>
  </si>
  <si>
    <t>Test Suite</t>
  </si>
  <si>
    <t>Reason for Hold</t>
  </si>
  <si>
    <t>Enabling infra access</t>
  </si>
  <si>
    <t>No forecast of work</t>
  </si>
  <si>
    <t>Count of Projects</t>
  </si>
  <si>
    <t>Implementation of core RPA use case - All India Staffing, customer projects potential use case on Agentic, in Hypercare now</t>
  </si>
  <si>
    <t>identified their top 3 scripts from "Winshuttle"  migrate to UiPath low complex - Complete PS India Staffing required - NO update from customer for Kick off</t>
  </si>
  <si>
    <t>SA support from PS India for their core RPA use case design, development and deployment, initialy 76 hrs contracted, renewed for 96 additional hours - ON Hold due to no forecast of work</t>
  </si>
  <si>
    <t>New contract signed late Sep '25, 1 dev to be onbaorded, BGV in progress, This accountis being renewed with PS India for last 3 years</t>
  </si>
  <si>
    <t>Delivery was on hold for a month - challenge in enabling app access, dev fromPS india onboarding in progress</t>
  </si>
  <si>
    <t xml:space="preserve">Technical Advisory services </t>
  </si>
  <si>
    <t xml:space="preserve">Managed Services, Post Go-live Biz Support </t>
  </si>
  <si>
    <t>Customer Delays, Project delayed  : Infra, Onboarding process and Security Review</t>
  </si>
  <si>
    <t>Delayed due to Scope creeps and availability of billable efforts</t>
  </si>
  <si>
    <t>Delays in availability of API info and app Schema</t>
  </si>
  <si>
    <r>
      <t xml:space="preserve">PM Anthony Garcia, now Aditya communicated on </t>
    </r>
    <r>
      <rPr>
        <b/>
        <sz val="10"/>
        <color rgb="FF000000"/>
        <rFont val="Arial"/>
        <family val="2"/>
      </rPr>
      <t>09/26</t>
    </r>
    <r>
      <rPr>
        <sz val="10"/>
        <color rgb="FF000000"/>
        <rFont val="Arial"/>
        <family val="2"/>
      </rPr>
      <t xml:space="preserve"> on customers decision to put project on HOLD </t>
    </r>
  </si>
  <si>
    <t>Delayed due to API info and SME availability to complete testing</t>
  </si>
  <si>
    <t>Carahsoft-Columbus State-Fixed Price-POD-PR-010537</t>
  </si>
  <si>
    <t>UAT Delayed due to Outlook configurations</t>
  </si>
  <si>
    <t>Moved to Exxon Mobil Project</t>
  </si>
  <si>
    <t>None - as customer has no clue on further steps</t>
  </si>
  <si>
    <t>Customer confirmed to close the Project</t>
  </si>
  <si>
    <t>Tenet internal re-org</t>
  </si>
  <si>
    <t xml:space="preserve">Awaiting AE to confirm </t>
  </si>
  <si>
    <t>Delay reasons</t>
  </si>
  <si>
    <t>Mitigation Plan</t>
  </si>
  <si>
    <t>Being internally discussed within PS leadership on way forward</t>
  </si>
  <si>
    <t>Continous scope creps delayed the overall delivery</t>
  </si>
  <si>
    <t>Awaiting customers response to resume the project</t>
  </si>
  <si>
    <t xml:space="preserve">Escalated with Sr. leadership to freeze the scope for every release  to avoid delays and budget spilover </t>
  </si>
  <si>
    <t>Delayed due to license and infra readiness, SME availability to complete testing</t>
  </si>
  <si>
    <t>Delivery was on hold for a month - challenge in enabling app access</t>
  </si>
  <si>
    <t>Scheduled discussion 02/27 with stakeholders to agree upon the scope freeze</t>
  </si>
  <si>
    <t>Scheduled discussion 02/27with stakeholders to agree upon the UAT and go-live completion targets</t>
  </si>
  <si>
    <t xml:space="preserve">Dev onboarding  in progress, customer being followed up for enabling access, no ETA </t>
  </si>
  <si>
    <t>Meetings cheduled with stakeholders 02/27  on implementation of webmail as  alternate soln for outlook per customer ask</t>
  </si>
  <si>
    <t>Hub International-Time and Materials-Postpaid-011340</t>
  </si>
  <si>
    <t>PR-011340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</si>
</sst>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2" x14ac:knownFonts="1">
    <font>
      <sz val="11"/>
      <color theme="1"/>
      <name val="Aptos Narrow"/>
      <family val="2"/>
      <scheme val="minor"/>
    </font>
    <font>
      <sz val="9"/>
      <color theme="1"/>
      <name val="Arial"/>
      <family val="2"/>
    </font>
    <font>
      <b/>
      <sz val="9"/>
      <color rgb="FFFFFFFF"/>
      <name val="Arial"/>
      <family val="2"/>
    </font>
    <font>
      <sz val="9"/>
      <color rgb="FF000000"/>
      <name val="Calibri"/>
      <family val="2"/>
    </font>
    <font>
      <sz val="9"/>
      <color rgb="FF000000"/>
      <name val="Arial"/>
      <family val="2"/>
    </font>
    <font>
      <sz val="10"/>
      <name val="Arial"/>
      <family val="2"/>
    </font>
    <font>
      <sz val="10"/>
      <color theme="1"/>
      <name val="Arial"/>
      <family val="2"/>
    </font>
    <font>
      <b/>
      <sz val="10"/>
      <color rgb="FFFFFFFF"/>
      <name val="Arial"/>
      <family val="2"/>
    </font>
    <font>
      <sz val="10"/>
      <color rgb="FF000000"/>
      <name val="Arial"/>
      <family val="2"/>
    </font>
    <font>
      <b/>
      <sz val="11"/>
      <color theme="1"/>
      <name val="Aptos Narrow"/>
      <family val="2"/>
      <scheme val="minor"/>
    </font>
    <font>
      <b/>
      <sz val="10"/>
      <color rgb="FFFA4616"/>
      <name val="Arial"/>
      <family val="2"/>
    </font>
    <font>
      <b/>
      <sz val="10"/>
      <color rgb="FF000000"/>
      <name val="Arial"/>
      <family val="2"/>
    </font>
    <font>
      <b/>
      <sz val="12"/>
      <color rgb="FF000000"/>
      <name val="Arial"/>
      <family val="2"/>
    </font>
    <font>
      <sz val="10"/>
      <color theme="1"/>
      <name val="Aptos Narrow"/>
      <family val="2"/>
      <scheme val="minor"/>
    </font>
    <font>
      <b/>
      <sz val="9"/>
      <color rgb="FF000000"/>
      <name val="Arial"/>
      <family val="2"/>
    </font>
    <font>
      <b/>
      <sz val="10"/>
      <color rgb="FF00B050"/>
      <name val="Arial"/>
      <family val="2"/>
    </font>
    <font>
      <b/>
      <sz val="9"/>
      <color theme="1"/>
      <name val="Arial"/>
      <family val="2"/>
    </font>
    <font>
      <sz val="9"/>
      <name val="Arial"/>
      <family val="2"/>
    </font>
    <font>
      <sz val="11"/>
      <color theme="1"/>
      <name val="Aptos Narrow"/>
      <family val="2"/>
      <scheme val="minor"/>
    </font>
    <font>
      <b/>
      <sz val="11"/>
      <color theme="0"/>
      <name val="Aptos Narrow"/>
      <family val="2"/>
      <scheme val="minor"/>
    </font>
    <font>
      <sz val="11"/>
      <color theme="0"/>
      <name val="Aptos Narrow"/>
      <family val="2"/>
      <scheme val="minor"/>
    </font>
    <font>
      <sz val="10"/>
      <color theme="0"/>
      <name val="Arial"/>
      <family val="2"/>
    </font>
  </fonts>
  <fills count="20">
    <fill>
      <patternFill patternType="none"/>
    </fill>
    <fill>
      <patternFill patternType="gray125"/>
    </fill>
    <fill>
      <patternFill patternType="solid">
        <fgColor rgb="FFA02B93"/>
        <bgColor rgb="FF000000"/>
      </patternFill>
    </fill>
    <fill>
      <patternFill patternType="solid">
        <fgColor rgb="FFFF0000"/>
        <bgColor indexed="64"/>
      </patternFill>
    </fill>
    <fill>
      <patternFill patternType="solid">
        <fgColor theme="7" tint="0.59999389629810485"/>
        <bgColor indexed="64"/>
      </patternFill>
    </fill>
    <fill>
      <patternFill patternType="solid">
        <fgColor rgb="FF0067DF"/>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C000"/>
        <bgColor indexed="64"/>
      </patternFill>
    </fill>
    <fill>
      <patternFill patternType="solid">
        <fgColor rgb="FFFF5050"/>
        <bgColor indexed="64"/>
      </patternFill>
    </fill>
    <fill>
      <patternFill patternType="solid">
        <fgColor theme="5" tint="-0.499984740745262"/>
        <bgColor indexed="64"/>
      </patternFill>
    </fill>
    <fill>
      <patternFill patternType="solid">
        <fgColor theme="0" tint="-0.499984740745262"/>
        <bgColor indexed="64"/>
      </patternFill>
    </fill>
    <fill>
      <patternFill patternType="solid">
        <fgColor theme="3" tint="0.249977111117893"/>
        <bgColor indexed="64"/>
      </patternFill>
    </fill>
    <fill>
      <patternFill patternType="solid">
        <fgColor theme="9"/>
        <bgColor indexed="64"/>
      </patternFill>
    </fill>
    <fill>
      <patternFill patternType="solid">
        <fgColor rgb="FFFF9933"/>
        <bgColor indexed="64"/>
      </patternFill>
    </fill>
    <fill>
      <patternFill patternType="solid">
        <fgColor theme="7"/>
        <bgColor indexed="64"/>
      </patternFill>
    </fill>
    <fill>
      <patternFill patternType="solid">
        <fgColor theme="2"/>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dotted">
        <color rgb="FF000000"/>
      </right>
      <top style="medium">
        <color indexed="64"/>
      </top>
      <bottom style="medium">
        <color indexed="64"/>
      </bottom>
      <diagonal/>
    </border>
    <border>
      <left style="dotted">
        <color rgb="FF000000"/>
      </left>
      <right style="dotted">
        <color rgb="FF000000"/>
      </right>
      <top style="medium">
        <color indexed="64"/>
      </top>
      <bottom style="medium">
        <color indexed="64"/>
      </bottom>
      <diagonal/>
    </border>
    <border>
      <left style="dotted">
        <color rgb="FF000000"/>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2">
    <xf numFmtId="0" fontId="0" fillId="0" borderId="0"/>
    <xf numFmtId="9" fontId="18" fillId="0" borderId="0" applyFont="0" applyFill="0" applyBorder="0" applyAlignment="0" applyProtection="0"/>
  </cellStyleXfs>
  <cellXfs count="190">
    <xf numFmtId="0" fontId="0" fillId="0" borderId="0" xfId="0"/>
    <xf numFmtId="9" fontId="0" fillId="0" borderId="0" xfId="0" applyNumberFormat="1"/>
    <xf numFmtId="9" fontId="4" fillId="0" borderId="3" xfId="0" applyNumberFormat="1" applyFont="1" applyBorder="1" applyAlignment="1">
      <alignment horizontal="right" vertical="center" wrapText="1" readingOrder="1"/>
    </xf>
    <xf numFmtId="0" fontId="1" fillId="0" borderId="1" xfId="0" applyFont="1" applyBorder="1"/>
    <xf numFmtId="0" fontId="1" fillId="0" borderId="4" xfId="0" applyFont="1" applyBorder="1"/>
    <xf numFmtId="0" fontId="1" fillId="0" borderId="5" xfId="0" applyFont="1" applyBorder="1"/>
    <xf numFmtId="0" fontId="5" fillId="0" borderId="1" xfId="0" applyFont="1" applyBorder="1" applyAlignment="1">
      <alignment horizontal="left" vertical="center"/>
    </xf>
    <xf numFmtId="0" fontId="6" fillId="0" borderId="1" xfId="0" applyFont="1" applyBorder="1" applyAlignment="1">
      <alignment horizontal="left" vertical="center"/>
    </xf>
    <xf numFmtId="0" fontId="7" fillId="2" borderId="1" xfId="0" applyFont="1" applyFill="1" applyBorder="1" applyAlignment="1">
      <alignment horizontal="center" vertical="center" wrapText="1"/>
    </xf>
    <xf numFmtId="0" fontId="6" fillId="0" borderId="0" xfId="0" applyFont="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center"/>
    </xf>
    <xf numFmtId="0" fontId="6" fillId="0" borderId="0" xfId="0" applyFont="1" applyAlignment="1">
      <alignment vertical="center"/>
    </xf>
    <xf numFmtId="0" fontId="4" fillId="0" borderId="7" xfId="0" applyFont="1" applyBorder="1" applyAlignment="1">
      <alignment horizontal="left" vertical="center" wrapText="1" readingOrder="1"/>
    </xf>
    <xf numFmtId="0" fontId="0" fillId="0" borderId="0" xfId="0"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9" fontId="3" fillId="0" borderId="1" xfId="0" applyNumberFormat="1" applyFont="1" applyBorder="1" applyAlignment="1">
      <alignment horizontal="right" vertical="center" wrapText="1" readingOrder="1"/>
    </xf>
    <xf numFmtId="9" fontId="0" fillId="0" borderId="1" xfId="0" applyNumberFormat="1" applyBorder="1"/>
    <xf numFmtId="0" fontId="2" fillId="3" borderId="4" xfId="0" applyFont="1" applyFill="1" applyBorder="1" applyAlignment="1">
      <alignment horizontal="center" vertical="center" wrapText="1" readingOrder="1"/>
    </xf>
    <xf numFmtId="0" fontId="2" fillId="3" borderId="5" xfId="0" applyFont="1" applyFill="1" applyBorder="1" applyAlignment="1">
      <alignment horizontal="center" vertical="center" wrapText="1" readingOrder="1"/>
    </xf>
    <xf numFmtId="0" fontId="2" fillId="3" borderId="6" xfId="0" applyFont="1" applyFill="1" applyBorder="1" applyAlignment="1">
      <alignment horizontal="center" vertical="center" wrapText="1" readingOrder="1"/>
    </xf>
    <xf numFmtId="0" fontId="0" fillId="4" borderId="1" xfId="0" applyFill="1" applyBorder="1"/>
    <xf numFmtId="0" fontId="0" fillId="0" borderId="0" xfId="0" applyAlignment="1">
      <alignment horizontal="center" vertical="center"/>
    </xf>
    <xf numFmtId="0" fontId="0" fillId="0" borderId="0" xfId="0" applyAlignment="1">
      <alignment vertical="center"/>
    </xf>
    <xf numFmtId="0" fontId="13" fillId="0" borderId="0" xfId="0" applyFont="1"/>
    <xf numFmtId="0" fontId="2" fillId="3" borderId="1" xfId="0" applyFont="1" applyFill="1" applyBorder="1" applyAlignment="1">
      <alignment horizontal="center" vertical="center"/>
    </xf>
    <xf numFmtId="0" fontId="4" fillId="0" borderId="1" xfId="0" applyFont="1" applyBorder="1" applyAlignment="1">
      <alignment vertical="center"/>
    </xf>
    <xf numFmtId="0" fontId="1" fillId="0" borderId="1" xfId="0" applyFont="1" applyBorder="1" applyAlignment="1">
      <alignment horizontal="center"/>
    </xf>
    <xf numFmtId="0" fontId="16" fillId="6" borderId="1" xfId="0" applyFont="1" applyFill="1" applyBorder="1"/>
    <xf numFmtId="0" fontId="9" fillId="6" borderId="1" xfId="0" applyFont="1" applyFill="1" applyBorder="1" applyAlignment="1">
      <alignment horizontal="center"/>
    </xf>
    <xf numFmtId="0" fontId="0" fillId="0" borderId="0" xfId="0" applyAlignment="1">
      <alignment horizontal="left" vertical="center"/>
    </xf>
    <xf numFmtId="0" fontId="0" fillId="0" borderId="0" xfId="0" applyAlignment="1">
      <alignment horizontal="left"/>
    </xf>
    <xf numFmtId="0" fontId="0" fillId="0" borderId="0" xfId="0" pivotButton="1"/>
    <xf numFmtId="0" fontId="7" fillId="5" borderId="10" xfId="0" applyFont="1" applyFill="1" applyBorder="1" applyAlignment="1">
      <alignment horizontal="center" vertical="center" wrapText="1" readingOrder="1"/>
    </xf>
    <xf numFmtId="0" fontId="7" fillId="5" borderId="11" xfId="0" applyFont="1" applyFill="1" applyBorder="1" applyAlignment="1">
      <alignment horizontal="center" vertical="center" wrapText="1" readingOrder="1"/>
    </xf>
    <xf numFmtId="0" fontId="7" fillId="5" borderId="12" xfId="0" applyFont="1" applyFill="1" applyBorder="1" applyAlignment="1">
      <alignment horizontal="center" vertical="center" wrapText="1" readingOrder="1"/>
    </xf>
    <xf numFmtId="0" fontId="14" fillId="0" borderId="10" xfId="0" applyFont="1" applyBorder="1" applyAlignment="1">
      <alignment horizontal="left" vertical="center" wrapText="1" readingOrder="1"/>
    </xf>
    <xf numFmtId="0" fontId="1" fillId="0" borderId="13" xfId="0" applyFont="1" applyBorder="1" applyAlignment="1">
      <alignment vertical="center" wrapText="1"/>
    </xf>
    <xf numFmtId="0" fontId="1" fillId="0" borderId="14" xfId="0" applyFont="1" applyBorder="1" applyAlignment="1">
      <alignment vertical="center" wrapText="1"/>
    </xf>
    <xf numFmtId="0" fontId="6" fillId="0" borderId="16" xfId="0" applyFont="1" applyBorder="1" applyAlignment="1">
      <alignment vertical="center"/>
    </xf>
    <xf numFmtId="0" fontId="1" fillId="0" borderId="2" xfId="0" applyFont="1" applyBorder="1" applyAlignment="1">
      <alignment horizontal="left" indent="3"/>
    </xf>
    <xf numFmtId="9" fontId="0" fillId="0" borderId="6" xfId="0" applyNumberFormat="1" applyBorder="1"/>
    <xf numFmtId="9" fontId="4" fillId="0" borderId="20" xfId="0" applyNumberFormat="1" applyFont="1" applyBorder="1" applyAlignment="1">
      <alignment horizontal="right" vertical="center" wrapText="1" readingOrder="1"/>
    </xf>
    <xf numFmtId="0" fontId="5" fillId="0" borderId="1" xfId="0" applyFont="1" applyBorder="1" applyAlignment="1">
      <alignment horizontal="center" vertical="center" wrapText="1"/>
    </xf>
    <xf numFmtId="0" fontId="10" fillId="0" borderId="1" xfId="0" applyFont="1" applyBorder="1" applyAlignment="1">
      <alignment horizontal="center" vertical="center" wrapText="1" readingOrder="1"/>
    </xf>
    <xf numFmtId="0" fontId="11" fillId="0" borderId="1" xfId="0" applyFont="1" applyBorder="1" applyAlignment="1">
      <alignment horizontal="center" vertical="center" wrapText="1" readingOrder="1"/>
    </xf>
    <xf numFmtId="0" fontId="5" fillId="0" borderId="1" xfId="0" applyFont="1" applyBorder="1" applyAlignment="1">
      <alignment horizontal="left" vertical="center" wrapText="1"/>
    </xf>
    <xf numFmtId="0" fontId="15" fillId="0" borderId="1" xfId="0" applyFont="1" applyBorder="1" applyAlignment="1">
      <alignment horizontal="center" vertical="center" wrapText="1" readingOrder="1"/>
    </xf>
    <xf numFmtId="9" fontId="11" fillId="0" borderId="1" xfId="0" applyNumberFormat="1" applyFont="1" applyBorder="1" applyAlignment="1">
      <alignment horizontal="center" vertical="center" wrapText="1" readingOrder="1"/>
    </xf>
    <xf numFmtId="0" fontId="7" fillId="5" borderId="1" xfId="0" applyFont="1" applyFill="1" applyBorder="1" applyAlignment="1">
      <alignment horizontal="center" vertical="center" wrapText="1" readingOrder="1"/>
    </xf>
    <xf numFmtId="164" fontId="5" fillId="0" borderId="1" xfId="0" applyNumberFormat="1" applyFont="1" applyBorder="1" applyAlignment="1">
      <alignment horizontal="left" vertical="center"/>
    </xf>
    <xf numFmtId="0" fontId="6" fillId="6" borderId="1" xfId="0" applyFont="1" applyFill="1" applyBorder="1" applyAlignment="1">
      <alignment horizontal="center" vertical="center"/>
    </xf>
    <xf numFmtId="0" fontId="9" fillId="4" borderId="1" xfId="0" applyFont="1" applyFill="1" applyBorder="1" applyAlignment="1">
      <alignment horizontal="center"/>
    </xf>
    <xf numFmtId="17" fontId="9" fillId="4" borderId="1" xfId="0" applyNumberFormat="1" applyFont="1" applyFill="1" applyBorder="1" applyAlignment="1">
      <alignment horizontal="center"/>
    </xf>
    <xf numFmtId="0" fontId="9" fillId="4" borderId="1" xfId="0" applyFont="1" applyFill="1" applyBorder="1" applyAlignment="1">
      <alignment horizontal="center" vertical="center"/>
    </xf>
    <xf numFmtId="15" fontId="4" fillId="0" borderId="1" xfId="0" applyNumberFormat="1" applyFont="1" applyBorder="1" applyAlignment="1">
      <alignment vertical="center" wrapText="1"/>
    </xf>
    <xf numFmtId="0" fontId="6" fillId="0" borderId="1" xfId="0" applyFont="1" applyBorder="1" applyAlignment="1">
      <alignment vertical="center" wrapText="1"/>
    </xf>
    <xf numFmtId="0" fontId="1" fillId="0" borderId="1" xfId="0" applyFont="1" applyBorder="1" applyAlignment="1">
      <alignment vertical="center" wrapText="1"/>
    </xf>
    <xf numFmtId="0" fontId="8" fillId="0" borderId="1" xfId="0" applyFont="1" applyBorder="1" applyAlignment="1">
      <alignment vertical="center" wrapText="1"/>
    </xf>
    <xf numFmtId="0" fontId="6" fillId="0" borderId="8" xfId="0" applyFont="1" applyBorder="1" applyAlignment="1">
      <alignment vertical="center"/>
    </xf>
    <xf numFmtId="0" fontId="6" fillId="0" borderId="0" xfId="0" applyFont="1" applyAlignment="1">
      <alignment horizontal="left" vertical="center"/>
    </xf>
    <xf numFmtId="0" fontId="1" fillId="0" borderId="1" xfId="0" applyFont="1" applyBorder="1" applyAlignment="1">
      <alignment horizontal="left" vertical="center"/>
    </xf>
    <xf numFmtId="15" fontId="6" fillId="0" borderId="1" xfId="0" applyNumberFormat="1" applyFont="1" applyBorder="1" applyAlignment="1">
      <alignment vertical="center"/>
    </xf>
    <xf numFmtId="0" fontId="14" fillId="0" borderId="7" xfId="0" applyFont="1" applyBorder="1" applyAlignment="1">
      <alignment horizontal="left" vertical="center" wrapText="1" readingOrder="1"/>
    </xf>
    <xf numFmtId="15" fontId="1" fillId="0" borderId="1" xfId="0" applyNumberFormat="1" applyFont="1" applyBorder="1" applyAlignment="1">
      <alignment horizontal="center" vertical="center"/>
    </xf>
    <xf numFmtId="0" fontId="0" fillId="4" borderId="1" xfId="0" applyFill="1" applyBorder="1" applyAlignment="1">
      <alignment horizontal="center"/>
    </xf>
    <xf numFmtId="0" fontId="9" fillId="7" borderId="4" xfId="0" applyFont="1" applyFill="1" applyBorder="1" applyAlignment="1">
      <alignment horizontal="center" vertical="center"/>
    </xf>
    <xf numFmtId="0" fontId="9" fillId="7" borderId="5" xfId="0" applyFont="1" applyFill="1" applyBorder="1" applyAlignment="1">
      <alignment horizontal="center" vertical="center"/>
    </xf>
    <xf numFmtId="0" fontId="9" fillId="7" borderId="6" xfId="0" applyFont="1" applyFill="1" applyBorder="1" applyAlignment="1">
      <alignment horizontal="center" vertical="center"/>
    </xf>
    <xf numFmtId="0" fontId="0" fillId="0" borderId="21"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2" xfId="0" applyBorder="1" applyAlignment="1">
      <alignment horizontal="center"/>
    </xf>
    <xf numFmtId="0" fontId="0" fillId="0" borderId="15" xfId="0" applyBorder="1" applyAlignment="1">
      <alignment horizontal="center"/>
    </xf>
    <xf numFmtId="0" fontId="0" fillId="0" borderId="23" xfId="0" applyBorder="1" applyAlignment="1">
      <alignment horizontal="center"/>
    </xf>
    <xf numFmtId="15" fontId="1" fillId="0" borderId="1" xfId="0" applyNumberFormat="1" applyFont="1" applyBorder="1" applyAlignment="1">
      <alignment horizontal="left" vertical="center"/>
    </xf>
    <xf numFmtId="0" fontId="6" fillId="0" borderId="17" xfId="0" applyFont="1" applyBorder="1" applyAlignment="1">
      <alignment vertical="center"/>
    </xf>
    <xf numFmtId="164" fontId="17" fillId="0" borderId="1" xfId="0" applyNumberFormat="1" applyFont="1" applyBorder="1" applyAlignment="1">
      <alignment horizontal="left" vertical="center"/>
    </xf>
    <xf numFmtId="0" fontId="1" fillId="0" borderId="1" xfId="0" applyFont="1" applyBorder="1" applyAlignment="1">
      <alignment vertical="center"/>
    </xf>
    <xf numFmtId="0" fontId="17" fillId="0" borderId="1" xfId="0" applyFont="1" applyBorder="1" applyAlignment="1">
      <alignment horizontal="left" vertical="center"/>
    </xf>
    <xf numFmtId="0" fontId="1" fillId="0" borderId="24" xfId="0" applyFont="1" applyBorder="1"/>
    <xf numFmtId="0" fontId="1" fillId="0" borderId="25" xfId="0" applyFont="1" applyBorder="1"/>
    <xf numFmtId="9" fontId="4" fillId="0" borderId="26" xfId="0" applyNumberFormat="1" applyFont="1" applyBorder="1" applyAlignment="1">
      <alignment horizontal="right" vertical="center" wrapText="1" readingOrder="1"/>
    </xf>
    <xf numFmtId="0" fontId="17" fillId="0" borderId="1" xfId="0" applyFont="1" applyBorder="1" applyAlignment="1">
      <alignment vertical="center"/>
    </xf>
    <xf numFmtId="0" fontId="17" fillId="0" borderId="1" xfId="0" applyFont="1" applyBorder="1" applyAlignment="1">
      <alignment horizontal="center" vertical="center"/>
    </xf>
    <xf numFmtId="0" fontId="17" fillId="6" borderId="1" xfId="0" applyFont="1" applyFill="1" applyBorder="1" applyAlignment="1">
      <alignment horizontal="center" vertical="center"/>
    </xf>
    <xf numFmtId="15" fontId="17" fillId="0" borderId="1" xfId="0" applyNumberFormat="1" applyFont="1" applyBorder="1" applyAlignment="1">
      <alignment vertical="center" wrapText="1"/>
    </xf>
    <xf numFmtId="15" fontId="17" fillId="0" borderId="1" xfId="0" applyNumberFormat="1" applyFont="1" applyBorder="1" applyAlignment="1">
      <alignment vertical="center"/>
    </xf>
    <xf numFmtId="0" fontId="1" fillId="0" borderId="29" xfId="0" applyFont="1" applyBorder="1"/>
    <xf numFmtId="0" fontId="1" fillId="0" borderId="30" xfId="0" applyFont="1" applyBorder="1"/>
    <xf numFmtId="9" fontId="4" fillId="0" borderId="31" xfId="0" applyNumberFormat="1" applyFont="1" applyBorder="1" applyAlignment="1">
      <alignment horizontal="right" vertical="center" wrapText="1" readingOrder="1"/>
    </xf>
    <xf numFmtId="0" fontId="1" fillId="0" borderId="18" xfId="0" applyFont="1" applyBorder="1" applyAlignment="1">
      <alignment horizontal="left" indent="3"/>
    </xf>
    <xf numFmtId="0" fontId="0" fillId="0" borderId="19" xfId="0" applyBorder="1"/>
    <xf numFmtId="0" fontId="17" fillId="0" borderId="0" xfId="0" applyFont="1" applyAlignment="1">
      <alignment vertical="center"/>
    </xf>
    <xf numFmtId="0" fontId="0" fillId="8" borderId="33" xfId="0" applyFill="1" applyBorder="1"/>
    <xf numFmtId="0" fontId="7" fillId="2" borderId="15" xfId="0" applyFont="1" applyFill="1" applyBorder="1" applyAlignment="1">
      <alignment horizontal="center" vertical="center" wrapText="1"/>
    </xf>
    <xf numFmtId="0" fontId="6" fillId="0" borderId="7" xfId="0" applyFont="1" applyBorder="1" applyAlignment="1">
      <alignment horizontal="center" vertical="center"/>
    </xf>
    <xf numFmtId="0" fontId="6" fillId="0" borderId="7" xfId="0" applyFont="1" applyBorder="1" applyAlignment="1">
      <alignment vertical="center"/>
    </xf>
    <xf numFmtId="164" fontId="5" fillId="0" borderId="7" xfId="0" applyNumberFormat="1" applyFont="1" applyBorder="1" applyAlignment="1">
      <alignment horizontal="left" vertical="center"/>
    </xf>
    <xf numFmtId="0" fontId="8" fillId="0" borderId="7" xfId="0" applyFont="1" applyBorder="1" applyAlignment="1">
      <alignment vertical="center"/>
    </xf>
    <xf numFmtId="15" fontId="8" fillId="0" borderId="7" xfId="0" applyNumberFormat="1" applyFont="1" applyBorder="1" applyAlignment="1">
      <alignment vertical="center" wrapText="1"/>
    </xf>
    <xf numFmtId="0" fontId="6" fillId="0" borderId="0" xfId="0" applyFont="1" applyAlignment="1">
      <alignment vertical="center" wrapText="1"/>
    </xf>
    <xf numFmtId="0" fontId="1" fillId="0" borderId="17" xfId="0" applyFont="1" applyBorder="1" applyAlignment="1">
      <alignment vertical="center"/>
    </xf>
    <xf numFmtId="0" fontId="0" fillId="0" borderId="0" xfId="0" applyAlignment="1">
      <alignment horizontal="left" indent="1"/>
    </xf>
    <xf numFmtId="0" fontId="6" fillId="0" borderId="7" xfId="0" applyFont="1" applyBorder="1" applyAlignment="1">
      <alignment vertical="center" wrapText="1"/>
    </xf>
    <xf numFmtId="0" fontId="5" fillId="0" borderId="7" xfId="0" applyFont="1" applyBorder="1" applyAlignment="1">
      <alignment horizontal="left" vertical="center"/>
    </xf>
    <xf numFmtId="0" fontId="6" fillId="0" borderId="7" xfId="0" applyFont="1" applyBorder="1" applyAlignment="1">
      <alignment horizontal="left" vertical="center"/>
    </xf>
    <xf numFmtId="0" fontId="8" fillId="0" borderId="7" xfId="0" applyFont="1" applyBorder="1" applyAlignment="1">
      <alignment vertical="center" wrapText="1"/>
    </xf>
    <xf numFmtId="0" fontId="5" fillId="0" borderId="7" xfId="0" applyFont="1" applyBorder="1" applyAlignment="1">
      <alignment vertical="center"/>
    </xf>
    <xf numFmtId="0" fontId="5" fillId="0" borderId="7" xfId="0" applyFont="1" applyBorder="1" applyAlignment="1">
      <alignment vertical="center" wrapText="1"/>
    </xf>
    <xf numFmtId="0" fontId="5" fillId="0" borderId="7" xfId="0" applyFont="1" applyBorder="1" applyAlignment="1">
      <alignment horizontal="center" vertical="center"/>
    </xf>
    <xf numFmtId="15" fontId="6" fillId="0" borderId="7" xfId="0" applyNumberFormat="1" applyFont="1" applyBorder="1" applyAlignment="1">
      <alignment vertical="center"/>
    </xf>
    <xf numFmtId="0" fontId="6" fillId="0" borderId="7" xfId="0" applyFont="1" applyBorder="1" applyAlignment="1">
      <alignment horizontal="left" vertical="center" wrapText="1"/>
    </xf>
    <xf numFmtId="164" fontId="5" fillId="0" borderId="32" xfId="0" applyNumberFormat="1" applyFont="1" applyBorder="1" applyAlignment="1">
      <alignment horizontal="left" vertical="center"/>
    </xf>
    <xf numFmtId="0" fontId="9" fillId="9" borderId="4" xfId="0" applyFont="1" applyFill="1" applyBorder="1" applyAlignment="1">
      <alignment horizontal="center" vertical="center"/>
    </xf>
    <xf numFmtId="0" fontId="9" fillId="9" borderId="6" xfId="0" applyFont="1" applyFill="1" applyBorder="1" applyAlignment="1">
      <alignment horizontal="center" vertical="center"/>
    </xf>
    <xf numFmtId="0" fontId="0" fillId="0" borderId="21" xfId="0" applyBorder="1" applyAlignment="1">
      <alignment horizontal="left" vertical="center"/>
    </xf>
    <xf numFmtId="0" fontId="0" fillId="0" borderId="9" xfId="0" applyBorder="1" applyAlignment="1">
      <alignment vertical="center"/>
    </xf>
    <xf numFmtId="0" fontId="0" fillId="0" borderId="2" xfId="0" applyBorder="1" applyAlignment="1">
      <alignment horizontal="left" vertical="center"/>
    </xf>
    <xf numFmtId="0" fontId="0" fillId="0" borderId="3" xfId="0" applyBorder="1" applyAlignment="1">
      <alignment vertical="center"/>
    </xf>
    <xf numFmtId="0" fontId="0" fillId="0" borderId="27" xfId="0" applyBorder="1" applyAlignment="1">
      <alignment horizontal="left" vertical="center"/>
    </xf>
    <xf numFmtId="0" fontId="0" fillId="0" borderId="28" xfId="0" applyBorder="1" applyAlignment="1">
      <alignment vertical="center"/>
    </xf>
    <xf numFmtId="15" fontId="0" fillId="0" borderId="7" xfId="0" applyNumberFormat="1" applyBorder="1" applyAlignment="1">
      <alignment vertical="center"/>
    </xf>
    <xf numFmtId="0" fontId="2" fillId="2" borderId="1" xfId="0" applyFont="1" applyFill="1" applyBorder="1" applyAlignment="1">
      <alignment horizontal="center" vertical="center"/>
    </xf>
    <xf numFmtId="0" fontId="0" fillId="11" borderId="1" xfId="0" applyFill="1" applyBorder="1" applyAlignment="1">
      <alignment horizontal="center" vertical="center"/>
    </xf>
    <xf numFmtId="15" fontId="6" fillId="8" borderId="1" xfId="0" applyNumberFormat="1" applyFont="1" applyFill="1" applyBorder="1" applyAlignment="1">
      <alignment vertical="center"/>
    </xf>
    <xf numFmtId="0" fontId="0" fillId="0" borderId="7" xfId="0" applyBorder="1" applyAlignment="1">
      <alignment vertical="center"/>
    </xf>
    <xf numFmtId="15" fontId="5" fillId="0" borderId="7" xfId="0" applyNumberFormat="1" applyFont="1" applyBorder="1" applyAlignment="1">
      <alignment vertical="center" wrapText="1"/>
    </xf>
    <xf numFmtId="15" fontId="8" fillId="0" borderId="1" xfId="0" applyNumberFormat="1" applyFont="1" applyBorder="1" applyAlignment="1">
      <alignment vertical="center" wrapText="1"/>
    </xf>
    <xf numFmtId="15" fontId="5" fillId="0" borderId="7" xfId="0" applyNumberFormat="1" applyFont="1" applyBorder="1" applyAlignment="1">
      <alignment vertical="center"/>
    </xf>
    <xf numFmtId="9" fontId="0" fillId="0" borderId="1" xfId="1" applyFont="1" applyBorder="1"/>
    <xf numFmtId="0" fontId="9" fillId="0" borderId="0" xfId="0" applyFont="1" applyAlignment="1">
      <alignment horizontal="center" vertical="center"/>
    </xf>
    <xf numFmtId="0" fontId="19" fillId="15" borderId="0" xfId="0" applyFont="1" applyFill="1" applyAlignment="1">
      <alignment horizontal="center" vertical="center"/>
    </xf>
    <xf numFmtId="0" fontId="19" fillId="16" borderId="0" xfId="0" applyFont="1" applyFill="1" applyAlignment="1">
      <alignment horizontal="center" vertical="center"/>
    </xf>
    <xf numFmtId="0" fontId="19" fillId="3" borderId="0" xfId="0" applyFont="1" applyFill="1" applyAlignment="1">
      <alignment horizontal="center" vertical="center"/>
    </xf>
    <xf numFmtId="0" fontId="19" fillId="14" borderId="0" xfId="0" applyFont="1" applyFill="1" applyAlignment="1">
      <alignment horizontal="center" vertical="center"/>
    </xf>
    <xf numFmtId="0" fontId="19" fillId="12" borderId="0" xfId="0" applyFont="1" applyFill="1" applyAlignment="1">
      <alignment horizontal="center" vertical="center"/>
    </xf>
    <xf numFmtId="0" fontId="19" fillId="13" borderId="0" xfId="0" applyFont="1" applyFill="1" applyAlignment="1">
      <alignment horizontal="center" vertical="center"/>
    </xf>
    <xf numFmtId="0" fontId="19" fillId="17" borderId="0" xfId="0" applyFont="1" applyFill="1" applyAlignment="1">
      <alignment horizontal="center" vertical="center"/>
    </xf>
    <xf numFmtId="0" fontId="8" fillId="0" borderId="1" xfId="0" applyFont="1" applyBorder="1" applyAlignment="1">
      <alignment vertical="center"/>
    </xf>
    <xf numFmtId="0" fontId="4" fillId="0" borderId="7" xfId="0" applyFont="1" applyBorder="1" applyAlignment="1">
      <alignment vertical="center"/>
    </xf>
    <xf numFmtId="0" fontId="5" fillId="0" borderId="8" xfId="0" applyFont="1" applyBorder="1" applyAlignment="1">
      <alignment horizontal="left" vertical="center"/>
    </xf>
    <xf numFmtId="0" fontId="6" fillId="0" borderId="7" xfId="0" applyFont="1" applyBorder="1" applyAlignment="1">
      <alignment horizontal="center"/>
    </xf>
    <xf numFmtId="0" fontId="6" fillId="6" borderId="7" xfId="0" applyFont="1" applyFill="1" applyBorder="1" applyAlignment="1">
      <alignment horizontal="center" vertical="center"/>
    </xf>
    <xf numFmtId="15" fontId="4" fillId="0" borderId="7" xfId="0" applyNumberFormat="1" applyFont="1" applyBorder="1" applyAlignment="1">
      <alignment vertical="center" wrapText="1"/>
    </xf>
    <xf numFmtId="15" fontId="6" fillId="0" borderId="1" xfId="0" applyNumberFormat="1" applyFont="1" applyBorder="1" applyAlignment="1">
      <alignment horizontal="center" vertical="center"/>
    </xf>
    <xf numFmtId="15" fontId="6" fillId="0" borderId="1" xfId="0" applyNumberFormat="1" applyFont="1" applyBorder="1" applyAlignment="1">
      <alignment vertical="center" wrapText="1"/>
    </xf>
    <xf numFmtId="17" fontId="6" fillId="0" borderId="7" xfId="0" applyNumberFormat="1" applyFont="1" applyBorder="1" applyAlignment="1">
      <alignment vertical="center"/>
    </xf>
    <xf numFmtId="15" fontId="6" fillId="8" borderId="0" xfId="0" applyNumberFormat="1" applyFont="1" applyFill="1" applyAlignment="1">
      <alignment vertical="center"/>
    </xf>
    <xf numFmtId="15" fontId="6" fillId="8" borderId="7" xfId="0" applyNumberFormat="1" applyFont="1" applyFill="1" applyBorder="1" applyAlignment="1">
      <alignment vertical="center"/>
    </xf>
    <xf numFmtId="17" fontId="6" fillId="0" borderId="1" xfId="0" applyNumberFormat="1" applyFont="1" applyBorder="1" applyAlignment="1">
      <alignment vertical="center"/>
    </xf>
    <xf numFmtId="15" fontId="6" fillId="0" borderId="0" xfId="0" applyNumberFormat="1" applyFont="1" applyAlignment="1">
      <alignment vertical="center"/>
    </xf>
    <xf numFmtId="15" fontId="8" fillId="0" borderId="0" xfId="0" applyNumberFormat="1" applyFont="1" applyAlignment="1">
      <alignment vertical="center" wrapText="1"/>
    </xf>
    <xf numFmtId="15" fontId="4" fillId="0" borderId="0" xfId="0" applyNumberFormat="1" applyFont="1" applyAlignment="1">
      <alignment vertical="center" wrapText="1"/>
    </xf>
    <xf numFmtId="9" fontId="0" fillId="0" borderId="0" xfId="1" applyFont="1" applyAlignment="1">
      <alignment horizontal="center" vertical="center"/>
    </xf>
    <xf numFmtId="0" fontId="0" fillId="0" borderId="1" xfId="0" applyBorder="1" applyAlignment="1">
      <alignment horizontal="center" vertical="center"/>
    </xf>
    <xf numFmtId="0" fontId="8" fillId="0" borderId="7" xfId="0" applyFont="1" applyBorder="1" applyAlignment="1">
      <alignment horizontal="left" vertical="center"/>
    </xf>
    <xf numFmtId="0" fontId="6" fillId="6" borderId="1" xfId="0" applyFont="1" applyFill="1" applyBorder="1" applyAlignment="1">
      <alignment horizontal="left" vertical="center"/>
    </xf>
    <xf numFmtId="15" fontId="8" fillId="0" borderId="7" xfId="0" applyNumberFormat="1" applyFont="1" applyBorder="1" applyAlignment="1">
      <alignment horizontal="left" vertical="center" wrapText="1"/>
    </xf>
    <xf numFmtId="0" fontId="6" fillId="8" borderId="7" xfId="0" applyFont="1" applyFill="1" applyBorder="1" applyAlignment="1">
      <alignment horizontal="left" vertical="center"/>
    </xf>
    <xf numFmtId="0" fontId="8" fillId="8" borderId="7" xfId="0" applyFont="1" applyFill="1" applyBorder="1" applyAlignment="1">
      <alignment vertical="center"/>
    </xf>
    <xf numFmtId="0" fontId="6" fillId="8" borderId="7" xfId="0" applyFont="1" applyFill="1" applyBorder="1" applyAlignment="1">
      <alignment vertical="center"/>
    </xf>
    <xf numFmtId="0" fontId="7" fillId="2" borderId="29" xfId="0" applyFont="1" applyFill="1" applyBorder="1" applyAlignment="1">
      <alignment horizontal="center" vertical="center" wrapText="1"/>
    </xf>
    <xf numFmtId="0" fontId="7" fillId="2" borderId="30"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0" fillId="3" borderId="1" xfId="0" applyFill="1" applyBorder="1" applyAlignment="1">
      <alignment horizontal="center" vertical="center"/>
    </xf>
    <xf numFmtId="0" fontId="0" fillId="10" borderId="1" xfId="0" applyFill="1" applyBorder="1" applyAlignment="1">
      <alignment horizontal="center" vertical="center"/>
    </xf>
    <xf numFmtId="0" fontId="6" fillId="19" borderId="1" xfId="0" applyFont="1" applyFill="1" applyBorder="1" applyAlignment="1">
      <alignment horizontal="left" vertical="center"/>
    </xf>
    <xf numFmtId="0" fontId="6" fillId="19" borderId="1" xfId="0" applyFont="1" applyFill="1" applyBorder="1" applyAlignment="1">
      <alignment vertical="center"/>
    </xf>
    <xf numFmtId="164" fontId="5" fillId="19" borderId="1" xfId="0" applyNumberFormat="1" applyFont="1" applyFill="1" applyBorder="1" applyAlignment="1">
      <alignment horizontal="left" vertical="center"/>
    </xf>
    <xf numFmtId="0" fontId="0" fillId="19" borderId="1" xfId="0" applyFill="1" applyBorder="1" applyAlignment="1">
      <alignment horizontal="center" vertical="center"/>
    </xf>
    <xf numFmtId="0" fontId="8" fillId="19" borderId="1" xfId="0" applyFont="1" applyFill="1" applyBorder="1" applyAlignment="1">
      <alignment vertical="center"/>
    </xf>
    <xf numFmtId="0" fontId="0" fillId="19" borderId="1" xfId="0" applyFill="1" applyBorder="1" applyAlignment="1">
      <alignment horizontal="left" vertical="center" wrapText="1"/>
    </xf>
    <xf numFmtId="0" fontId="7" fillId="2" borderId="15" xfId="0" quotePrefix="1" applyFont="1" applyFill="1" applyBorder="1" applyAlignment="1">
      <alignment horizontal="center" vertical="center" wrapText="1"/>
    </xf>
    <xf numFmtId="0" fontId="6" fillId="10" borderId="7" xfId="0" applyFont="1" applyFill="1" applyBorder="1" applyAlignment="1">
      <alignment horizontal="center" vertical="center"/>
    </xf>
    <xf numFmtId="0" fontId="0" fillId="0" borderId="1" xfId="0" pivotButton="1" applyBorder="1" applyAlignment="1">
      <alignment horizontal="center" vertical="center"/>
    </xf>
    <xf numFmtId="0" fontId="6" fillId="3" borderId="1" xfId="0" applyFont="1" applyFill="1" applyBorder="1" applyAlignment="1">
      <alignment horizontal="center" vertical="center"/>
    </xf>
    <xf numFmtId="0" fontId="20" fillId="3" borderId="1" xfId="0" applyFont="1" applyFill="1" applyBorder="1" applyAlignment="1">
      <alignment horizontal="center" vertical="center"/>
    </xf>
    <xf numFmtId="0" fontId="21" fillId="3" borderId="1" xfId="0" applyFont="1" applyFill="1" applyBorder="1" applyAlignment="1">
      <alignment horizontal="center" vertical="center"/>
    </xf>
    <xf numFmtId="17" fontId="6" fillId="0" borderId="0" xfId="0" applyNumberFormat="1" applyFont="1" applyAlignment="1">
      <alignment vertical="center"/>
    </xf>
    <xf numFmtId="9" fontId="12" fillId="0" borderId="1" xfId="0" applyNumberFormat="1" applyFont="1" applyBorder="1" applyAlignment="1">
      <alignment horizontal="center" vertical="center" wrapText="1" readingOrder="1"/>
    </xf>
    <xf numFmtId="0" fontId="9" fillId="18" borderId="34" xfId="0" applyFont="1" applyFill="1" applyBorder="1" applyAlignment="1">
      <alignment horizontal="center" vertical="center"/>
    </xf>
    <xf numFmtId="0" fontId="9" fillId="18" borderId="13" xfId="0" applyFont="1" applyFill="1" applyBorder="1" applyAlignment="1">
      <alignment horizontal="center" vertical="center"/>
    </xf>
    <xf numFmtId="0" fontId="9" fillId="18" borderId="14" xfId="0" applyFont="1" applyFill="1" applyBorder="1" applyAlignment="1">
      <alignment horizontal="center" vertical="center"/>
    </xf>
    <xf numFmtId="0" fontId="0" fillId="0" borderId="0" xfId="0" applyAlignment="1">
      <alignment horizontal="center"/>
    </xf>
  </cellXfs>
  <cellStyles count="2">
    <cellStyle name="Normal" xfId="0" builtinId="0"/>
    <cellStyle name="Percent" xfId="1" builtinId="5"/>
  </cellStyles>
  <dxfs count="1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54D65"/>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IN" sz="1000"/>
              <a:t>FDS% &amp; Non-FDS%  for CW</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'Utilization '!$E$4</c:f>
              <c:strCache>
                <c:ptCount val="1"/>
                <c:pt idx="0">
                  <c:v>FDS%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'Utilization '!$F$3:$I$3</c:f>
              <c:strCache>
                <c:ptCount val="4"/>
                <c:pt idx="0">
                  <c:v>WE_20 Sep</c:v>
                </c:pt>
                <c:pt idx="1">
                  <c:v>WE_27 Sep</c:v>
                </c:pt>
                <c:pt idx="2">
                  <c:v>WE_04 Oct</c:v>
                </c:pt>
                <c:pt idx="3">
                  <c:v>WE_11 Oct</c:v>
                </c:pt>
              </c:strCache>
            </c:strRef>
          </c:cat>
          <c:val>
            <c:numRef>
              <c:f>'Utilization '!$F$4:$I$4</c:f>
              <c:numCache>
                <c:formatCode>0%</c:formatCode>
                <c:ptCount val="4"/>
                <c:pt idx="0">
                  <c:v>0.8</c:v>
                </c:pt>
                <c:pt idx="1">
                  <c:v>0.81</c:v>
                </c:pt>
                <c:pt idx="2">
                  <c:v>0.75</c:v>
                </c:pt>
                <c:pt idx="3">
                  <c:v>0.82</c:v>
                </c:pt>
              </c:numCache>
            </c:numRef>
          </c:val>
          <c:extLst>
            <c:ext xmlns:c16="http://schemas.microsoft.com/office/drawing/2014/chart" uri="{C3380CC4-5D6E-409C-BE32-E72D297353CC}">
              <c16:uniqueId val="{00000000-BD6C-4745-AA79-81B1DB674249}"/>
            </c:ext>
          </c:extLst>
        </c:ser>
        <c:ser>
          <c:idx val="1"/>
          <c:order val="1"/>
          <c:tx>
            <c:strRef>
              <c:f>'Utilization '!$E$5</c:f>
              <c:strCache>
                <c:ptCount val="1"/>
                <c:pt idx="0">
                  <c:v>Non-FDS%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'Utilization '!$F$3:$I$3</c:f>
              <c:strCache>
                <c:ptCount val="4"/>
                <c:pt idx="0">
                  <c:v>WE_20 Sep</c:v>
                </c:pt>
                <c:pt idx="1">
                  <c:v>WE_27 Sep</c:v>
                </c:pt>
                <c:pt idx="2">
                  <c:v>WE_04 Oct</c:v>
                </c:pt>
                <c:pt idx="3">
                  <c:v>WE_11 Oct</c:v>
                </c:pt>
              </c:strCache>
            </c:strRef>
          </c:cat>
          <c:val>
            <c:numRef>
              <c:f>'Utilization '!$F$5:$I$5</c:f>
              <c:numCache>
                <c:formatCode>0%</c:formatCode>
                <c:ptCount val="4"/>
                <c:pt idx="0">
                  <c:v>0.2</c:v>
                </c:pt>
                <c:pt idx="1">
                  <c:v>0.19</c:v>
                </c:pt>
                <c:pt idx="2">
                  <c:v>0.25</c:v>
                </c:pt>
                <c:pt idx="3">
                  <c:v>0.18</c:v>
                </c:pt>
              </c:numCache>
            </c:numRef>
          </c:val>
          <c:extLst>
            <c:ext xmlns:c16="http://schemas.microsoft.com/office/drawing/2014/chart" uri="{C3380CC4-5D6E-409C-BE32-E72D297353CC}">
              <c16:uniqueId val="{00000001-BD6C-4745-AA79-81B1DB674249}"/>
            </c:ext>
          </c:extLst>
        </c:ser>
        <c:dLbls>
          <c:dLblPos val="outEnd"/>
          <c:showLegendKey val="0"/>
          <c:showVal val="1"/>
          <c:showCatName val="0"/>
          <c:showSerName val="0"/>
          <c:showPercent val="0"/>
          <c:showBubbleSize val="0"/>
        </c:dLbls>
        <c:gapWidth val="65"/>
        <c:axId val="1229892127"/>
        <c:axId val="1229891647"/>
      </c:barChart>
      <c:catAx>
        <c:axId val="12298921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9891647"/>
        <c:crosses val="autoZero"/>
        <c:auto val="1"/>
        <c:lblAlgn val="ctr"/>
        <c:lblOffset val="100"/>
        <c:noMultiLvlLbl val="0"/>
      </c:catAx>
      <c:valAx>
        <c:axId val="12298916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22989212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IN" sz="1000"/>
              <a:t>FDS% &amp; Non-FDS%  for FTE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'Utilization '!$E$9</c:f>
              <c:strCache>
                <c:ptCount val="1"/>
                <c:pt idx="0">
                  <c:v>FDS%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'Utilization '!$F$8:$I$8</c:f>
              <c:strCache>
                <c:ptCount val="4"/>
                <c:pt idx="0">
                  <c:v>WE_20 Sep</c:v>
                </c:pt>
                <c:pt idx="1">
                  <c:v>WE_27 Sep</c:v>
                </c:pt>
                <c:pt idx="2">
                  <c:v>WE_04 Oct</c:v>
                </c:pt>
                <c:pt idx="3">
                  <c:v>WE_11 Oct</c:v>
                </c:pt>
              </c:strCache>
            </c:strRef>
          </c:cat>
          <c:val>
            <c:numRef>
              <c:f>'Utilization '!$F$9:$I$9</c:f>
              <c:numCache>
                <c:formatCode>0%</c:formatCode>
                <c:ptCount val="4"/>
                <c:pt idx="0">
                  <c:v>0.68</c:v>
                </c:pt>
                <c:pt idx="1">
                  <c:v>0.71</c:v>
                </c:pt>
                <c:pt idx="2">
                  <c:v>0.38</c:v>
                </c:pt>
                <c:pt idx="3">
                  <c:v>0.64</c:v>
                </c:pt>
              </c:numCache>
            </c:numRef>
          </c:val>
          <c:extLst>
            <c:ext xmlns:c16="http://schemas.microsoft.com/office/drawing/2014/chart" uri="{C3380CC4-5D6E-409C-BE32-E72D297353CC}">
              <c16:uniqueId val="{00000000-52C7-401A-BEE2-5EAFC53E0D35}"/>
            </c:ext>
          </c:extLst>
        </c:ser>
        <c:ser>
          <c:idx val="1"/>
          <c:order val="1"/>
          <c:tx>
            <c:strRef>
              <c:f>'Utilization '!$E$10</c:f>
              <c:strCache>
                <c:ptCount val="1"/>
                <c:pt idx="0">
                  <c:v>Non-FDS%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'Utilization '!$F$8:$I$8</c:f>
              <c:strCache>
                <c:ptCount val="4"/>
                <c:pt idx="0">
                  <c:v>WE_20 Sep</c:v>
                </c:pt>
                <c:pt idx="1">
                  <c:v>WE_27 Sep</c:v>
                </c:pt>
                <c:pt idx="2">
                  <c:v>WE_04 Oct</c:v>
                </c:pt>
                <c:pt idx="3">
                  <c:v>WE_11 Oct</c:v>
                </c:pt>
              </c:strCache>
            </c:strRef>
          </c:cat>
          <c:val>
            <c:numRef>
              <c:f>'Utilization '!$F$10:$I$10</c:f>
              <c:numCache>
                <c:formatCode>0%</c:formatCode>
                <c:ptCount val="4"/>
                <c:pt idx="0">
                  <c:v>0.32</c:v>
                </c:pt>
                <c:pt idx="1">
                  <c:v>0.28999999999999998</c:v>
                </c:pt>
                <c:pt idx="2">
                  <c:v>0.62</c:v>
                </c:pt>
                <c:pt idx="3">
                  <c:v>0.36</c:v>
                </c:pt>
              </c:numCache>
            </c:numRef>
          </c:val>
          <c:extLst>
            <c:ext xmlns:c16="http://schemas.microsoft.com/office/drawing/2014/chart" uri="{C3380CC4-5D6E-409C-BE32-E72D297353CC}">
              <c16:uniqueId val="{00000001-52C7-401A-BEE2-5EAFC53E0D35}"/>
            </c:ext>
          </c:extLst>
        </c:ser>
        <c:dLbls>
          <c:dLblPos val="outEnd"/>
          <c:showLegendKey val="0"/>
          <c:showVal val="1"/>
          <c:showCatName val="0"/>
          <c:showSerName val="0"/>
          <c:showPercent val="0"/>
          <c:showBubbleSize val="0"/>
        </c:dLbls>
        <c:gapWidth val="65"/>
        <c:axId val="159712304"/>
        <c:axId val="159723824"/>
      </c:barChart>
      <c:catAx>
        <c:axId val="1597123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723824"/>
        <c:crosses val="autoZero"/>
        <c:auto val="1"/>
        <c:lblAlgn val="ctr"/>
        <c:lblOffset val="100"/>
        <c:noMultiLvlLbl val="0"/>
      </c:catAx>
      <c:valAx>
        <c:axId val="1597238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5971230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937A-4B96-BC52-CCF355BEB197}"/>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937A-4B96-BC52-CCF355BEB197}"/>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937A-4B96-BC52-CCF355BEB197}"/>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937A-4B96-BC52-CCF355BEB197}"/>
              </c:ext>
            </c:extLst>
          </c:dPt>
          <c:dLbls>
            <c:dLbl>
              <c:idx val="0"/>
              <c:layout>
                <c:manualLayout>
                  <c:x val="-0.16688428847056369"/>
                  <c:y val="-0.1589319027429263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37A-4B96-BC52-CCF355BEB1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'Summary Dashboard'!$R$5:$R$8</c:f>
              <c:strCache>
                <c:ptCount val="4"/>
                <c:pt idx="0">
                  <c:v>On Track</c:v>
                </c:pt>
                <c:pt idx="1">
                  <c:v>Delayed</c:v>
                </c:pt>
                <c:pt idx="2">
                  <c:v>On Hold</c:v>
                </c:pt>
                <c:pt idx="3">
                  <c:v>Yet to Start</c:v>
                </c:pt>
              </c:strCache>
            </c:strRef>
          </c:cat>
          <c:val>
            <c:numRef>
              <c:f>'Summary Dashboard'!$S$5:$S$8</c:f>
              <c:numCache>
                <c:formatCode>General</c:formatCode>
                <c:ptCount val="4"/>
                <c:pt idx="0">
                  <c:v>51</c:v>
                </c:pt>
                <c:pt idx="1">
                  <c:v>7</c:v>
                </c:pt>
                <c:pt idx="2">
                  <c:v>4</c:v>
                </c:pt>
                <c:pt idx="3">
                  <c:v>4</c:v>
                </c:pt>
              </c:numCache>
            </c:numRef>
          </c:val>
          <c:extLst>
            <c:ext xmlns:c16="http://schemas.microsoft.com/office/drawing/2014/chart" uri="{C3380CC4-5D6E-409C-BE32-E72D297353CC}">
              <c16:uniqueId val="{00000000-2253-4B35-8989-4DBC5FC187C4}"/>
            </c:ext>
          </c:extLst>
        </c:ser>
        <c:ser>
          <c:idx val="1"/>
          <c:order val="1"/>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937A-4B96-BC52-CCF355BEB197}"/>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937A-4B96-BC52-CCF355BEB197}"/>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937A-4B96-BC52-CCF355BEB197}"/>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937A-4B96-BC52-CCF355BEB1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'Summary Dashboard'!$R$5:$R$8</c:f>
              <c:strCache>
                <c:ptCount val="4"/>
                <c:pt idx="0">
                  <c:v>On Track</c:v>
                </c:pt>
                <c:pt idx="1">
                  <c:v>Delayed</c:v>
                </c:pt>
                <c:pt idx="2">
                  <c:v>On Hold</c:v>
                </c:pt>
                <c:pt idx="3">
                  <c:v>Yet to Start</c:v>
                </c:pt>
              </c:strCache>
            </c:strRef>
          </c:cat>
          <c:val>
            <c:numRef>
              <c:f>'Summary Dashboard'!$T$5:$T$8</c:f>
              <c:numCache>
                <c:formatCode>0%</c:formatCode>
                <c:ptCount val="4"/>
                <c:pt idx="0">
                  <c:v>0.77272727272727271</c:v>
                </c:pt>
                <c:pt idx="1">
                  <c:v>0.10606060606060606</c:v>
                </c:pt>
                <c:pt idx="2">
                  <c:v>6.0606060606060608E-2</c:v>
                </c:pt>
                <c:pt idx="3">
                  <c:v>6.0606060606060608E-2</c:v>
                </c:pt>
              </c:numCache>
            </c:numRef>
          </c:val>
          <c:extLst>
            <c:ext xmlns:c16="http://schemas.microsoft.com/office/drawing/2014/chart" uri="{C3380CC4-5D6E-409C-BE32-E72D297353CC}">
              <c16:uniqueId val="{00000001-2253-4B35-8989-4DBC5FC187C4}"/>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Product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a:outerShdw blurRad="317500" algn="ctr" rotWithShape="0">
                <a:prstClr val="black">
                  <a:alpha val="25000"/>
                </a:prstClr>
              </a:outerShdw>
            </a:effectLst>
          </c:spPr>
          <c:invertIfNegative val="0"/>
          <c:dPt>
            <c:idx val="0"/>
            <c:invertIfNegative val="0"/>
            <c:bubble3D val="0"/>
            <c:spPr>
              <a:solidFill>
                <a:schemeClr val="accent4"/>
              </a:solidFill>
              <a:ln>
                <a:noFill/>
              </a:ln>
              <a:effectLst>
                <a:outerShdw blurRad="304800" algn="ctr" rotWithShape="0">
                  <a:prstClr val="black">
                    <a:alpha val="25000"/>
                  </a:prstClr>
                </a:outerShdw>
              </a:effectLst>
              <a:scene3d>
                <a:camera prst="orthographicFront"/>
                <a:lightRig rig="threePt" dir="t"/>
              </a:scene3d>
              <a:sp3d>
                <a:bevelT/>
              </a:sp3d>
            </c:spPr>
            <c:extLst>
              <c:ext xmlns:c16="http://schemas.microsoft.com/office/drawing/2014/chart" uri="{C3380CC4-5D6E-409C-BE32-E72D297353CC}">
                <c16:uniqueId val="{00000002-E42A-4A9E-9692-1CC2D72EE9D6}"/>
              </c:ext>
            </c:extLst>
          </c:dPt>
          <c:dPt>
            <c:idx val="1"/>
            <c:invertIfNegative val="0"/>
            <c:bubble3D val="0"/>
            <c:spPr>
              <a:solidFill>
                <a:srgbClr val="F54D65"/>
              </a:solidFill>
              <a:ln>
                <a:noFill/>
              </a:ln>
              <a:effectLst>
                <a:outerShdw blurRad="317500" algn="ctr" rotWithShape="0">
                  <a:prstClr val="black">
                    <a:alpha val="25000"/>
                  </a:prstClr>
                </a:outerShdw>
              </a:effectLst>
              <a:scene3d>
                <a:camera prst="orthographicFront"/>
                <a:lightRig rig="threePt" dir="t"/>
              </a:scene3d>
              <a:sp3d>
                <a:bevelT/>
              </a:sp3d>
            </c:spPr>
            <c:extLst>
              <c:ext xmlns:c16="http://schemas.microsoft.com/office/drawing/2014/chart" uri="{C3380CC4-5D6E-409C-BE32-E72D297353CC}">
                <c16:uniqueId val="{00000001-E42A-4A9E-9692-1CC2D72EE9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'Summary Dashboard'!$R$15:$R$16</c:f>
              <c:strCache>
                <c:ptCount val="2"/>
                <c:pt idx="0">
                  <c:v>Core</c:v>
                </c:pt>
                <c:pt idx="1">
                  <c:v>Growth</c:v>
                </c:pt>
              </c:strCache>
            </c:strRef>
          </c:cat>
          <c:val>
            <c:numRef>
              <c:f>'Summary Dashboard'!$S$15:$S$16</c:f>
              <c:numCache>
                <c:formatCode>General</c:formatCode>
                <c:ptCount val="2"/>
                <c:pt idx="0">
                  <c:v>28</c:v>
                </c:pt>
                <c:pt idx="1">
                  <c:v>38</c:v>
                </c:pt>
              </c:numCache>
            </c:numRef>
          </c:val>
          <c:extLst>
            <c:ext xmlns:c16="http://schemas.microsoft.com/office/drawing/2014/chart" uri="{C3380CC4-5D6E-409C-BE32-E72D297353CC}">
              <c16:uniqueId val="{00000000-E42A-4A9E-9692-1CC2D72EE9D6}"/>
            </c:ext>
          </c:extLst>
        </c:ser>
        <c:dLbls>
          <c:showLegendKey val="0"/>
          <c:showVal val="0"/>
          <c:showCatName val="0"/>
          <c:showSerName val="0"/>
          <c:showPercent val="0"/>
          <c:showBubbleSize val="0"/>
        </c:dLbls>
        <c:gapWidth val="150"/>
        <c:axId val="866544415"/>
        <c:axId val="866538655"/>
      </c:barChart>
      <c:catAx>
        <c:axId val="8665444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crossAx val="866538655"/>
        <c:crosses val="autoZero"/>
        <c:auto val="1"/>
        <c:lblAlgn val="ctr"/>
        <c:lblOffset val="100"/>
        <c:noMultiLvlLbl val="0"/>
      </c:catAx>
      <c:valAx>
        <c:axId val="866538655"/>
        <c:scaling>
          <c:orientation val="minMax"/>
        </c:scaling>
        <c:delete val="1"/>
        <c:axPos val="l"/>
        <c:majorGridlines>
          <c:spPr>
            <a:ln w="9525" cap="flat" cmpd="sng" algn="ctr">
              <a:noFill/>
              <a:round/>
            </a:ln>
            <a:effectLst/>
          </c:spPr>
        </c:majorGridlines>
        <c:numFmt formatCode="General" sourceLinked="1"/>
        <c:majorTickMark val="out"/>
        <c:minorTickMark val="none"/>
        <c:tickLblPos val="nextTo"/>
        <c:crossAx val="866544415"/>
        <c:crosses val="autoZero"/>
        <c:crossBetween val="between"/>
      </c:valAx>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Growth Products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6FC-4CB5-A5D1-24B845B75F1E}"/>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42-4DB4-97EB-0BF31CDC9F60}"/>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E542-4DB4-97EB-0BF31CDC9F60}"/>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6FC-4CB5-A5D1-24B845B75F1E}"/>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6FC-4CB5-A5D1-24B845B75F1E}"/>
              </c:ext>
            </c:extLst>
          </c:dPt>
          <c:dLbls>
            <c:dLbl>
              <c:idx val="0"/>
              <c:layout>
                <c:manualLayout>
                  <c:x val="0.12426532325776658"/>
                  <c:y val="-8.037825059101655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FC-4CB5-A5D1-24B845B75F1E}"/>
                </c:ext>
              </c:extLst>
            </c:dLbl>
            <c:dLbl>
              <c:idx val="1"/>
              <c:layout>
                <c:manualLayout>
                  <c:x val="-6.7170445004198151E-2"/>
                  <c:y val="0.1087470449172575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542-4DB4-97EB-0BF31CDC9F60}"/>
                </c:ext>
              </c:extLst>
            </c:dLbl>
            <c:dLbl>
              <c:idx val="2"/>
              <c:layout>
                <c:manualLayout>
                  <c:x val="-0.19143576826196473"/>
                  <c:y val="-2.364066193853436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542-4DB4-97EB-0BF31CDC9F60}"/>
                </c:ext>
              </c:extLst>
            </c:dLbl>
            <c:dLbl>
              <c:idx val="3"/>
              <c:layout>
                <c:manualLayout>
                  <c:x val="-0.12762384550797648"/>
                  <c:y val="-0.1134751773049645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FC-4CB5-A5D1-24B845B75F1E}"/>
                </c:ext>
              </c:extLst>
            </c:dLbl>
            <c:dLbl>
              <c:idx val="4"/>
              <c:layout>
                <c:manualLayout>
                  <c:x val="-1.343408900083963E-2"/>
                  <c:y val="-0.1560283687943262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6FC-4CB5-A5D1-24B845B75F1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 Dashboard'!$R$28:$R$32</c:f>
              <c:strCache>
                <c:ptCount val="5"/>
                <c:pt idx="0">
                  <c:v>Agentic</c:v>
                </c:pt>
                <c:pt idx="1">
                  <c:v>IXP / Comms Mining</c:v>
                </c:pt>
                <c:pt idx="2">
                  <c:v>Test Cloud</c:v>
                </c:pt>
                <c:pt idx="3">
                  <c:v>Apps, API</c:v>
                </c:pt>
                <c:pt idx="4">
                  <c:v>Training</c:v>
                </c:pt>
              </c:strCache>
            </c:strRef>
          </c:cat>
          <c:val>
            <c:numRef>
              <c:f>'Summary Dashboard'!$S$28:$S$32</c:f>
              <c:numCache>
                <c:formatCode>General</c:formatCode>
                <c:ptCount val="5"/>
                <c:pt idx="0">
                  <c:v>10</c:v>
                </c:pt>
                <c:pt idx="1">
                  <c:v>21</c:v>
                </c:pt>
                <c:pt idx="2">
                  <c:v>5</c:v>
                </c:pt>
                <c:pt idx="3">
                  <c:v>1</c:v>
                </c:pt>
                <c:pt idx="4">
                  <c:v>1</c:v>
                </c:pt>
              </c:numCache>
            </c:numRef>
          </c:val>
          <c:extLst>
            <c:ext xmlns:c16="http://schemas.microsoft.com/office/drawing/2014/chart" uri="{C3380CC4-5D6E-409C-BE32-E72D297353CC}">
              <c16:uniqueId val="{00000000-E542-4DB4-97EB-0BF31CDC9F6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12</xdr:col>
      <xdr:colOff>285750</xdr:colOff>
      <xdr:row>1</xdr:row>
      <xdr:rowOff>101600</xdr:rowOff>
    </xdr:from>
    <xdr:to>
      <xdr:col>18</xdr:col>
      <xdr:colOff>177800</xdr:colOff>
      <xdr:row>12</xdr:row>
      <xdr:rowOff>71437</xdr:rowOff>
    </xdr:to>
    <xdr:graphicFrame macro="">
      <xdr:nvGraphicFramePr>
        <xdr:cNvPr id="2" name="Chart 1">
          <a:extLst>
            <a:ext uri="{FF2B5EF4-FFF2-40B4-BE49-F238E27FC236}">
              <a16:creationId xmlns:a16="http://schemas.microsoft.com/office/drawing/2014/main" id="{737ECA1B-0B0E-474A-B84A-3B7B1D840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266700</xdr:colOff>
      <xdr:row>12</xdr:row>
      <xdr:rowOff>156940</xdr:rowOff>
    </xdr:from>
    <xdr:to>
      <xdr:col>18</xdr:col>
      <xdr:colOff>158750</xdr:colOff>
      <xdr:row>24</xdr:row>
      <xdr:rowOff>122237</xdr:rowOff>
    </xdr:to>
    <xdr:graphicFrame macro="">
      <xdr:nvGraphicFramePr>
        <xdr:cNvPr id="3" name="Chart 2">
          <a:extLst>
            <a:ext uri="{FF2B5EF4-FFF2-40B4-BE49-F238E27FC236}">
              <a16:creationId xmlns:a16="http://schemas.microsoft.com/office/drawing/2014/main" id="{302D2C39-454A-40D5-8A63-8751968677E8}"/>
            </a:ext>
            <a:ext uri="{147F2762-F138-4A5C-976F-8EAC2B608ADB}">
              <a16:predDERef xmlns:a16="http://schemas.microsoft.com/office/drawing/2014/main" pred="{737ECA1B-0B0E-474A-B84A-3B7B1D840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488950</xdr:colOff>
      <xdr:row>2</xdr:row>
      <xdr:rowOff>101600</xdr:rowOff>
    </xdr:from>
    <xdr:to>
      <xdr:col>2</xdr:col>
      <xdr:colOff>539750</xdr:colOff>
      <xdr:row>12</xdr:row>
      <xdr:rowOff>57150</xdr:rowOff>
    </xdr:to>
    <xdr:graphicFrame macro="">
      <xdr:nvGraphicFramePr>
        <xdr:cNvPr id="2" name="Chart 1">
          <a:extLst>
            <a:ext uri="{FF2B5EF4-FFF2-40B4-BE49-F238E27FC236}">
              <a16:creationId xmlns:a16="http://schemas.microsoft.com/office/drawing/2014/main" id="{34B6DC93-BCDA-B1F7-DA5A-E85C8D97B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393700</xdr:colOff>
      <xdr:row>12</xdr:row>
      <xdr:rowOff>139700</xdr:rowOff>
    </xdr:from>
    <xdr:to>
      <xdr:col>13</xdr:col>
      <xdr:colOff>101600</xdr:colOff>
      <xdr:row>21</xdr:row>
      <xdr:rowOff>63500</xdr:rowOff>
    </xdr:to>
    <xdr:graphicFrame macro="">
      <xdr:nvGraphicFramePr>
        <xdr:cNvPr id="3" name="Chart 2">
          <a:extLst>
            <a:ext uri="{FF2B5EF4-FFF2-40B4-BE49-F238E27FC236}">
              <a16:creationId xmlns:a16="http://schemas.microsoft.com/office/drawing/2014/main" id="{B0400A15-AF4E-5D56-F28C-791C8876E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396875</xdr:colOff>
      <xdr:row>22</xdr:row>
      <xdr:rowOff>127000</xdr:rowOff>
    </xdr:from>
    <xdr:to>
      <xdr:col>14</xdr:col>
      <xdr:colOff>565150</xdr:colOff>
      <xdr:row>37</xdr:row>
      <xdr:rowOff>50800</xdr:rowOff>
    </xdr:to>
    <xdr:graphicFrame macro="">
      <xdr:nvGraphicFramePr>
        <xdr:cNvPr id="4" name="Chart 3">
          <a:extLst>
            <a:ext uri="{FF2B5EF4-FFF2-40B4-BE49-F238E27FC236}">
              <a16:creationId xmlns:a16="http://schemas.microsoft.com/office/drawing/2014/main" id="{C0E45CC5-2ABA-BE2F-973F-129FAFCBA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Thiyagarajan S" id="{E73C6D76-262C-44AE-90C6-9C90F2A7514A}" userId="S::thiyagarajan.s@uipath.com::5af77d0c-c169-4bcb-b34d-aba916ede58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yagarajan S" refreshedDate="46073.587721643518" createdVersion="8" refreshedVersion="8" minRefreshableVersion="3" recordCount="79" xr:uid="{E8DB49E2-9D41-4531-B653-6E6F2C7294A3}">
  <cacheSource type="worksheet">
    <worksheetSource ref="B1:V1048576" sheet="AMER Project Details FY 26"/>
  </cacheSource>
  <cacheFields count="21">
    <cacheField name="Project Delivery" numFmtId="0">
      <sharedItems containsBlank="1"/>
    </cacheField>
    <cacheField name="Project ID" numFmtId="0">
      <sharedItems containsBlank="1"/>
    </cacheField>
    <cacheField name="Area" numFmtId="0">
      <sharedItems containsBlank="1"/>
    </cacheField>
    <cacheField name="Account" numFmtId="0">
      <sharedItems containsBlank="1"/>
    </cacheField>
    <cacheField name="Project Name" numFmtId="0">
      <sharedItems containsBlank="1" containsMixedTypes="1" containsNumber="1" containsInteger="1" minValue="750" maxValue="750"/>
    </cacheField>
    <cacheField name="Account Exec" numFmtId="0">
      <sharedItems containsBlank="1"/>
    </cacheField>
    <cacheField name="GTM" numFmtId="0">
      <sharedItems containsBlank="1"/>
    </cacheField>
    <cacheField name="Customer  SPOC" numFmtId="0">
      <sharedItems containsBlank="1"/>
    </cacheField>
    <cacheField name="Backlog [Delivered Value]" numFmtId="0">
      <sharedItems containsBlank="1" containsMixedTypes="1" containsNumber="1" minValue="5085" maxValue="4552146.5"/>
    </cacheField>
    <cacheField name="Deal Value" numFmtId="0">
      <sharedItems containsString="0" containsBlank="1" containsNumber="1" minValue="0" maxValue="7000000"/>
    </cacheField>
    <cacheField name="Growth/Core" numFmtId="0">
      <sharedItems containsBlank="1" count="4">
        <s v="Growth"/>
        <s v="Core"/>
        <m/>
        <s v="Platform Migration" u="1"/>
      </sharedItems>
    </cacheField>
    <cacheField name="SZ/NSZ" numFmtId="0">
      <sharedItems containsBlank="1"/>
    </cacheField>
    <cacheField name="Project Type" numFmtId="0">
      <sharedItems containsBlank="1" count="17">
        <s v="Apps, API"/>
        <s v="Test Cloud"/>
        <s v="Agentic"/>
        <s v="XP/GenAI/Comms Mining"/>
        <s v="Core"/>
        <s v="Training"/>
        <m/>
        <s v="DU/Gen AI" u="1"/>
        <s v="Core RPA" u="1"/>
        <s v="Comms Mining" u="1"/>
        <s v="App Test" u="1"/>
        <s v="DU/Core RPA" u="1"/>
        <s v="DU/Agentic" u="1"/>
        <s v="RPA Test" u="1"/>
        <s v="DU/IXP" u="1"/>
        <s v="Test Suite" u="1"/>
        <s v="Platform Migration" u="1"/>
      </sharedItems>
    </cacheField>
    <cacheField name="Delivery Region" numFmtId="0">
      <sharedItems containsBlank="1" count="4">
        <s v="India/US"/>
        <s v="India"/>
        <m/>
        <s v="AMER" u="1"/>
      </sharedItems>
    </cacheField>
    <cacheField name="SOW Type" numFmtId="0">
      <sharedItems containsBlank="1" count="4">
        <s v="Staff Aug"/>
        <s v="Delivery"/>
        <s v="MS"/>
        <m/>
      </sharedItems>
    </cacheField>
    <cacheField name="Contract Type" numFmtId="0">
      <sharedItems containsBlank="1" count="4">
        <s v="T&amp;M"/>
        <s v="Fixed Fee"/>
        <s v="Service Credit"/>
        <m/>
      </sharedItems>
    </cacheField>
    <cacheField name="Status" numFmtId="0">
      <sharedItems containsBlank="1"/>
    </cacheField>
    <cacheField name="Resources_x000a_FTE " numFmtId="0">
      <sharedItems containsString="0" containsBlank="1" containsNumber="1" minValue="0" maxValue="12"/>
    </cacheField>
    <cacheField name="Resources_x000a_CW" numFmtId="0">
      <sharedItems containsString="0" containsBlank="1" containsNumber="1" minValue="0.5" maxValue="14"/>
    </cacheField>
    <cacheField name="RAG Status" numFmtId="0">
      <sharedItems containsBlank="1"/>
    </cacheField>
    <cacheField name="Issue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yagarajan S" refreshedDate="46079.871630439811" createdVersion="8" refreshedVersion="8" minRefreshableVersion="3" recordCount="79" xr:uid="{6324F83A-91BA-4023-9A46-7E57A9595599}">
  <cacheSource type="worksheet">
    <worksheetSource ref="A1:Z1048576" sheet="AMER Project Details FY 26"/>
  </cacheSource>
  <cacheFields count="26">
    <cacheField name="Sl. No" numFmtId="0">
      <sharedItems containsString="0" containsBlank="1" containsNumber="1" containsInteger="1" minValue="1" maxValue="66"/>
    </cacheField>
    <cacheField name="Project Delivery" numFmtId="0">
      <sharedItems containsBlank="1"/>
    </cacheField>
    <cacheField name="Project ID" numFmtId="0">
      <sharedItems containsBlank="1"/>
    </cacheField>
    <cacheField name="Area" numFmtId="0">
      <sharedItems containsBlank="1"/>
    </cacheField>
    <cacheField name="Account" numFmtId="0">
      <sharedItems containsBlank="1"/>
    </cacheField>
    <cacheField name="Project Name" numFmtId="0">
      <sharedItems containsBlank="1" containsMixedTypes="1" containsNumber="1" containsInteger="1" minValue="750" maxValue="750"/>
    </cacheField>
    <cacheField name="Account Exec" numFmtId="0">
      <sharedItems containsBlank="1"/>
    </cacheField>
    <cacheField name="GTM" numFmtId="0">
      <sharedItems containsBlank="1"/>
    </cacheField>
    <cacheField name="Customer  SPOC" numFmtId="0">
      <sharedItems containsBlank="1"/>
    </cacheField>
    <cacheField name="Backlog [Delivered Value]" numFmtId="0">
      <sharedItems containsBlank="1" containsMixedTypes="1" containsNumber="1" minValue="5085" maxValue="4552146.5"/>
    </cacheField>
    <cacheField name="Deal Value" numFmtId="0">
      <sharedItems containsString="0" containsBlank="1" containsNumber="1" minValue="0" maxValue="7000000"/>
    </cacheField>
    <cacheField name="Growth/Core" numFmtId="0">
      <sharedItems containsBlank="1"/>
    </cacheField>
    <cacheField name="SZ/NSZ" numFmtId="0">
      <sharedItems containsBlank="1"/>
    </cacheField>
    <cacheField name="Project Type" numFmtId="0">
      <sharedItems containsBlank="1"/>
    </cacheField>
    <cacheField name="Delivery Region" numFmtId="0">
      <sharedItems containsBlank="1"/>
    </cacheField>
    <cacheField name="SOW Type" numFmtId="0">
      <sharedItems containsBlank="1"/>
    </cacheField>
    <cacheField name="Contract Type" numFmtId="0">
      <sharedItems containsBlank="1"/>
    </cacheField>
    <cacheField name="Status" numFmtId="0">
      <sharedItems containsBlank="1" count="4">
        <s v="In Progress"/>
        <s v="On HOLD"/>
        <s v="Yet to Start"/>
        <m/>
      </sharedItems>
    </cacheField>
    <cacheField name="Resources_x000a_FTE " numFmtId="0">
      <sharedItems containsString="0" containsBlank="1" containsNumber="1" minValue="0" maxValue="12"/>
    </cacheField>
    <cacheField name="Resources_x000a_CW" numFmtId="0">
      <sharedItems containsString="0" containsBlank="1" containsNumber="1" minValue="0.5" maxValue="14"/>
    </cacheField>
    <cacheField name="RAG Status" numFmtId="0">
      <sharedItems containsBlank="1"/>
    </cacheField>
    <cacheField name="Issues" numFmtId="0">
      <sharedItems containsBlank="1"/>
    </cacheField>
    <cacheField name="Comments" numFmtId="0">
      <sharedItems containsBlank="1" longText="1"/>
    </cacheField>
    <cacheField name="SOW Signed on" numFmtId="0">
      <sharedItems containsNonDate="0" containsDate="1" containsString="0" containsBlank="1" minDate="2022-10-31T00:00:00" maxDate="2026-02-10T00:00:00"/>
    </cacheField>
    <cacheField name="Project End date" numFmtId="0">
      <sharedItems containsNonDate="0" containsDate="1" containsString="0" containsBlank="1" minDate="2026-03-18T00:00:00" maxDate="2028-11-01T00:00:00"/>
    </cacheField>
    <cacheField name="Project Manag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yagarajan S" refreshedDate="46080.05273275463" createdVersion="8" refreshedVersion="8" minRefreshableVersion="3" recordCount="79" xr:uid="{E1BBE734-F085-48DC-A725-B46165473A9F}">
  <cacheSource type="worksheet">
    <worksheetSource ref="B1:V1048576" sheet="AMER Project Details FY 26"/>
  </cacheSource>
  <cacheFields count="21">
    <cacheField name="Project Delivery" numFmtId="0">
      <sharedItems containsBlank="1"/>
    </cacheField>
    <cacheField name="Project ID" numFmtId="0">
      <sharedItems containsBlank="1"/>
    </cacheField>
    <cacheField name="Area" numFmtId="0">
      <sharedItems containsBlank="1" count="13">
        <s v="AMER FINS"/>
        <s v="AMER SUMMIT"/>
        <s v="AMER HLS"/>
        <s v="AMER GSI"/>
        <s v="AMER Commercial"/>
        <s v="AMER Public Sector"/>
        <s v="Internal"/>
        <m/>
        <s v="INT South Asia India Professional Services Sales" u="1"/>
        <s v="UiPath Inc" u="1"/>
        <s v="AMER HLS Life Sciences" u="1"/>
        <s v="AMER SUMMIT " u="1"/>
        <s v="AMER SUMMIT Tech and Semiconductor" u="1"/>
      </sharedItems>
    </cacheField>
    <cacheField name="Account" numFmtId="0">
      <sharedItems containsBlank="1"/>
    </cacheField>
    <cacheField name="Project Name" numFmtId="0">
      <sharedItems containsBlank="1" containsMixedTypes="1" containsNumber="1" containsInteger="1" minValue="750" maxValue="750"/>
    </cacheField>
    <cacheField name="Account Exec" numFmtId="0">
      <sharedItems containsBlank="1"/>
    </cacheField>
    <cacheField name="GTM" numFmtId="0">
      <sharedItems containsBlank="1"/>
    </cacheField>
    <cacheField name="Customer  SPOC" numFmtId="0">
      <sharedItems containsBlank="1"/>
    </cacheField>
    <cacheField name="Backlog [Delivered Value]" numFmtId="0">
      <sharedItems containsBlank="1" containsMixedTypes="1" containsNumber="1" minValue="5085" maxValue="4552146.5"/>
    </cacheField>
    <cacheField name="Deal Value" numFmtId="0">
      <sharedItems containsString="0" containsBlank="1" containsNumber="1" minValue="0" maxValue="7000000"/>
    </cacheField>
    <cacheField name="Growth/Core" numFmtId="0">
      <sharedItems containsBlank="1"/>
    </cacheField>
    <cacheField name="SZ/NSZ" numFmtId="0">
      <sharedItems containsBlank="1" count="3">
        <s v="Strikezone"/>
        <s v="Non-Strikezone"/>
        <m/>
      </sharedItems>
    </cacheField>
    <cacheField name="Project Type" numFmtId="0">
      <sharedItems containsBlank="1"/>
    </cacheField>
    <cacheField name="Delivery Region" numFmtId="0">
      <sharedItems containsBlank="1"/>
    </cacheField>
    <cacheField name="SOW Type" numFmtId="0">
      <sharedItems containsBlank="1"/>
    </cacheField>
    <cacheField name="Contract Type" numFmtId="0">
      <sharedItems containsBlank="1"/>
    </cacheField>
    <cacheField name="Status" numFmtId="0">
      <sharedItems containsBlank="1"/>
    </cacheField>
    <cacheField name="Resources_x000a_FTE " numFmtId="0">
      <sharedItems containsString="0" containsBlank="1" containsNumber="1" minValue="0" maxValue="12"/>
    </cacheField>
    <cacheField name="Resources_x000a_CW" numFmtId="0">
      <sharedItems containsString="0" containsBlank="1" containsNumber="1" minValue="0.5" maxValue="14"/>
    </cacheField>
    <cacheField name="RAG Status" numFmtId="0">
      <sharedItems containsBlank="1"/>
    </cacheField>
    <cacheField name="Issu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s v="Intl - AMER"/>
    <s v="PR-005449"/>
    <s v="AMER FINS"/>
    <s v="Liberty Mutual Insurance"/>
    <s v="Liberty Mutual Insurance-Hybrid-Service Credit Prepaid-100% Discounted-005449"/>
    <s v="Andrew Warren"/>
    <m/>
    <s v="george.kochiii@libertymutual.com"/>
    <n v="90230.000000000015"/>
    <n v="7000000"/>
    <x v="0"/>
    <s v="Strikezone"/>
    <x v="0"/>
    <x v="0"/>
    <x v="0"/>
    <x v="0"/>
    <s v="In Progress"/>
    <m/>
    <n v="1"/>
    <s v="Green"/>
    <s v="No"/>
  </r>
  <r>
    <s v="Test - AMER"/>
    <s v="PR-009073"/>
    <s v="AMER SUMMIT"/>
    <m/>
    <s v="Google Inc.-Fixed Price-Prepaid-100% Discounted-009073"/>
    <s v="Tylor Basas"/>
    <s v="Nolyn Croy"/>
    <m/>
    <n v="4552146.5"/>
    <n v="5402500"/>
    <x v="0"/>
    <s v="Strikezone"/>
    <x v="1"/>
    <x v="0"/>
    <x v="1"/>
    <x v="1"/>
    <s v="In Progress"/>
    <n v="3"/>
    <m/>
    <s v="Red"/>
    <s v="Yes"/>
  </r>
  <r>
    <s v="Intl - AMER"/>
    <s v="PR-0101280"/>
    <s v="AMER HLS"/>
    <s v="CIGNA"/>
    <s v="CIGNA-Hybrid-Service Credit Prepaid-100% Discounted-PR-010280"/>
    <s v="Ryan Poole"/>
    <m/>
    <m/>
    <e v="#N/A"/>
    <n v="2500000"/>
    <x v="0"/>
    <s v="Strikezone"/>
    <x v="2"/>
    <x v="0"/>
    <x v="1"/>
    <x v="2"/>
    <s v="On HOLD"/>
    <m/>
    <m/>
    <s v="Green"/>
    <s v="No"/>
  </r>
  <r>
    <s v="Intl - AMER"/>
    <s v="PR-004732"/>
    <s v="AMER HLS"/>
    <s v="HCA Information Technology &amp; Services, Inc."/>
    <s v="HCA – Information Technol-Hybrid-Service Credit Prepaid-004732"/>
    <s v="Susan Belovich"/>
    <m/>
    <s v="Daniel Alexander_x000a_daniel.alexander@hcahealthcare.com"/>
    <m/>
    <n v="2500000"/>
    <x v="0"/>
    <s v="Strikezone"/>
    <x v="3"/>
    <x v="0"/>
    <x v="1"/>
    <x v="2"/>
    <s v="In Progress"/>
    <m/>
    <m/>
    <s v="Green"/>
    <s v="No"/>
  </r>
  <r>
    <s v="Intl - AMER"/>
    <s v="PR-010148"/>
    <s v="AMER SUMMIT"/>
    <s v="Apple"/>
    <s v="Apple-Fixed Price-Service Credit Prepaid 100% Discounted-PR-010148"/>
    <s v="Ryan Edmundowicz"/>
    <m/>
    <s v="Bosco D'Silva_x000a_bdsilva@apple.com"/>
    <n v="1782730"/>
    <n v="2300000"/>
    <x v="1"/>
    <s v="Strikezone"/>
    <x v="4"/>
    <x v="0"/>
    <x v="1"/>
    <x v="2"/>
    <s v="In Progress"/>
    <n v="2"/>
    <n v="5"/>
    <s v="Green"/>
    <s v="No"/>
  </r>
  <r>
    <s v="Test - AMER"/>
    <s v="PR-009742"/>
    <s v="AMER FINS"/>
    <s v="Wells Fargo (Global)"/>
    <s v="Wells Fargo (Global)-Hybrid-Service Credit-100% Disc- Prepaid-009742"/>
    <m/>
    <s v="Nolyn Croy"/>
    <m/>
    <n v="589279.99999999988"/>
    <n v="1600000"/>
    <x v="0"/>
    <s v="Non-Strikezone"/>
    <x v="1"/>
    <x v="1"/>
    <x v="0"/>
    <x v="0"/>
    <s v="In Progress"/>
    <n v="12"/>
    <n v="14"/>
    <s v="Green"/>
    <s v="No"/>
  </r>
  <r>
    <s v="Intl - AMER"/>
    <s v="PR-008208"/>
    <s v="AMER GSI"/>
    <s v="Deloitte Global Services LLP"/>
    <s v="Deloitte Global Services-Hybrid-Service Credit Prepaid-PR-008208"/>
    <s v="Erika Laughlin"/>
    <m/>
    <s v="_x000a_Ragu Gurumurthy_x000a_rgurumurthy@deloitte.com_x000a_"/>
    <n v="924189"/>
    <n v="1470000"/>
    <x v="1"/>
    <s v="Strikezone"/>
    <x v="4"/>
    <x v="1"/>
    <x v="1"/>
    <x v="2"/>
    <s v="In Progress"/>
    <n v="2"/>
    <n v="4"/>
    <s v="Green"/>
    <s v="No"/>
  </r>
  <r>
    <s v="Intl - AMER"/>
    <s v="PR-008086"/>
    <s v="AMER FINS"/>
    <s v="Citizens Bank, National Association"/>
    <s v="Citizens Bank National A-Fixed Price-100% disc.-Service Credit Prepaid-008086"/>
    <s v="Aaron Greenblatt"/>
    <m/>
    <s v="Matthew Lavoie_x000a_matthew.d.lavoie@citizensbank"/>
    <n v="182649.99999999994"/>
    <n v="1300000"/>
    <x v="1"/>
    <s v="Non-Strikezone"/>
    <x v="4"/>
    <x v="1"/>
    <x v="0"/>
    <x v="1"/>
    <s v="In Progress"/>
    <n v="1"/>
    <n v="6"/>
    <s v="Green"/>
    <s v="No"/>
  </r>
  <r>
    <s v="Intl - AMER"/>
    <s v="PR-009786"/>
    <s v="AMER Commercial"/>
    <s v="Icertis, Inc."/>
    <s v="Icertis Inc.-Hybrid-Service Credit Prepaid-PR-009786"/>
    <s v="Lawrence Dixon"/>
    <m/>
    <s v="Todd Smith_x000a_todd.smith@icertis.com"/>
    <n v="989300"/>
    <n v="1000000"/>
    <x v="0"/>
    <s v="Non-Strikezone"/>
    <x v="3"/>
    <x v="1"/>
    <x v="1"/>
    <x v="2"/>
    <s v="In Progress"/>
    <n v="0.5"/>
    <n v="2"/>
    <s v="Green"/>
    <s v="No"/>
  </r>
  <r>
    <s v="Test - AMER"/>
    <s v="PR-009807"/>
    <s v="AMER GSI"/>
    <s v="Deloitte Consulting, LLP"/>
    <s v="Deloitte Consulting LLP-Hybrid-Service Credit Prepaid- 100% Discounted-009807"/>
    <s v="Erika Laughlin"/>
    <s v="Nolyn Croy"/>
    <m/>
    <n v="610555.20000000007"/>
    <n v="622000"/>
    <x v="0"/>
    <s v="Strikezone"/>
    <x v="1"/>
    <x v="1"/>
    <x v="1"/>
    <x v="1"/>
    <s v="In Progress"/>
    <n v="3"/>
    <m/>
    <s v="Amber"/>
    <s v="Yes"/>
  </r>
  <r>
    <s v="Intl - AMER"/>
    <s v="PR-010972"/>
    <s v="AMER HLS"/>
    <s v="Ascension Health Alliance"/>
    <s v="Ascension Health Alliance-Hybrid-Service Credit Prepaid-100%Disc-010972"/>
    <s v="Dannie Aschenbrener"/>
    <m/>
    <s v="Gagan Singh, _x000a_gagan.singh@ascension.org"/>
    <m/>
    <n v="550000"/>
    <x v="0"/>
    <s v="Strikezone"/>
    <x v="3"/>
    <x v="0"/>
    <x v="1"/>
    <x v="2"/>
    <s v="In Progress"/>
    <m/>
    <m/>
    <s v="Green"/>
    <s v="No"/>
  </r>
  <r>
    <s v="Intl - AMER"/>
    <s v="PR-009904"/>
    <s v="AMER HLS"/>
    <s v="FinThrive Revenue Systems, LLC"/>
    <s v="FinThrive Revenue Systems-Hybrid-Service Credit Prepaid-100% Discounte-PR-009904"/>
    <s v="Robert Lord"/>
    <s v="Lindsay Galvin"/>
    <s v="Michael Waluk_x000a_michael.waluk@finthrive.com"/>
    <n v="58333.45"/>
    <n v="500000"/>
    <x v="0"/>
    <s v="Strikezone"/>
    <x v="2"/>
    <x v="0"/>
    <x v="1"/>
    <x v="2"/>
    <s v="In Progress"/>
    <m/>
    <m/>
    <s v="Green"/>
    <s v="No"/>
  </r>
  <r>
    <s v="Intl - AMER"/>
    <s v="PR-010485"/>
    <s v="AMER FINS"/>
    <s v="Voya Services Company"/>
    <s v="Voya Services Company-Time and Materials-POD 010485"/>
    <s v="Angela Li"/>
    <m/>
    <s v="Guy Conille_x000a_guy.conille@uipath.com"/>
    <n v="610000"/>
    <n v="457500"/>
    <x v="0"/>
    <s v="Strikezone"/>
    <x v="2"/>
    <x v="0"/>
    <x v="1"/>
    <x v="2"/>
    <s v="In Progress"/>
    <n v="2"/>
    <n v="1"/>
    <s v="Green"/>
    <s v="No"/>
  </r>
  <r>
    <s v="Intl - AMER"/>
    <s v="PR-011316"/>
    <s v="AMER FINS"/>
    <s v="Hub International"/>
    <s v="Hub International-Fixed Price-Postpaid-011316"/>
    <s v="John Pellettiere"/>
    <s v="Nolyn Croy"/>
    <s v="Seth McCallister_x000a_seth.mccallister@hubinternational.com"/>
    <m/>
    <n v="420000"/>
    <x v="1"/>
    <s v="Non-Strikezone"/>
    <x v="4"/>
    <x v="1"/>
    <x v="2"/>
    <x v="1"/>
    <s v="In Progress"/>
    <m/>
    <m/>
    <s v="Green"/>
    <s v="No"/>
  </r>
  <r>
    <s v="Intl - AMER"/>
    <s v="PR-011298"/>
    <s v="AMER HLS"/>
    <s v="Access Telecare, LLC"/>
    <s v="Access Telecare LLC-Hybrid-Postpaid-011298"/>
    <s v="Colby LaCouture"/>
    <m/>
    <s v="Andy Garlington_x000a_Email bounced. Update the email address and try again.andy.garlington@accesstelecare.com"/>
    <m/>
    <n v="410400"/>
    <x v="0"/>
    <s v="Strikezone"/>
    <x v="2"/>
    <x v="0"/>
    <x v="1"/>
    <x v="1"/>
    <s v="Yet to Start"/>
    <m/>
    <m/>
    <s v="Green"/>
    <s v="No"/>
  </r>
  <r>
    <s v="Test - AMER"/>
    <s v="PR-011039"/>
    <s v="AMER SUMMIT"/>
    <s v="ExxonMobil (Global)"/>
    <s v="ExxonMobil (Global)-Hybrid-Service Credit Prepaid-100%Disc-011039"/>
    <s v="Sam Ghosh"/>
    <s v="Lisa Goodman"/>
    <s v="Saysha Reyes Chica"/>
    <m/>
    <n v="400000"/>
    <x v="0"/>
    <s v="Strikezone"/>
    <x v="1"/>
    <x v="1"/>
    <x v="1"/>
    <x v="2"/>
    <s v="In Progress"/>
    <n v="0.5"/>
    <n v="2"/>
    <s v="Green"/>
    <s v="No"/>
  </r>
  <r>
    <s v="Intl - AMER"/>
    <s v="PR-010592"/>
    <s v="AMER FINS"/>
    <s v="Western Alliance Bank"/>
    <s v="Western Alliance Bank-Time and Materials-Prepaid-100%Disc-010592"/>
    <s v="Carl Zauner"/>
    <s v="Nolyn Croy"/>
    <m/>
    <n v="355500.56"/>
    <n v="359600"/>
    <x v="0"/>
    <s v="Strikezone"/>
    <x v="2"/>
    <x v="0"/>
    <x v="1"/>
    <x v="2"/>
    <s v="In Progress"/>
    <m/>
    <n v="1"/>
    <s v="Green"/>
    <s v="No"/>
  </r>
  <r>
    <s v="Intl - AMER"/>
    <s v="PR-010989"/>
    <s v="AMER SUMMIT"/>
    <s v="Intel Corporation"/>
    <s v="Intel Corporation-Time and Materials-Postpaid-010989 "/>
    <s v="Zach Venard"/>
    <m/>
    <s v="Shah, Siddharth_x000a_siddharth.shah@intel.com"/>
    <m/>
    <n v="300000"/>
    <x v="0"/>
    <s v="Non-Strikezone"/>
    <x v="3"/>
    <x v="1"/>
    <x v="0"/>
    <x v="0"/>
    <s v="In Progress"/>
    <m/>
    <m/>
    <s v="Green"/>
    <s v="No"/>
  </r>
  <r>
    <s v="Test - AMER"/>
    <s v="PR-010169"/>
    <s v="AMER FINS"/>
    <s v="Voya Services Company"/>
    <s v="Voya Services Company-Hybrid-Prepaid 100% Discounted-010169"/>
    <s v="Aaron Greenblatt"/>
    <s v="Lisa Goodman"/>
    <s v="Pratik Kothari"/>
    <n v="252398.965"/>
    <n v="299975"/>
    <x v="0"/>
    <s v="Strikezone"/>
    <x v="5"/>
    <x v="0"/>
    <x v="1"/>
    <x v="1"/>
    <s v="In Progress"/>
    <n v="2"/>
    <n v="1"/>
    <s v="Green"/>
    <s v="No"/>
  </r>
  <r>
    <s v="Intl - AMER"/>
    <s v="PR-009891"/>
    <s v="AMER HLS"/>
    <s v="The Promptcare Companies Inc"/>
    <s v="The Promptcare Companies-Fixed Price-Prepaid-009891"/>
    <s v="Jonathan Harrison"/>
    <s v="Spencer Miller"/>
    <s v="Phill Merrell_x000a_pmerrell@promptcare.net"/>
    <n v="231899.59800000003"/>
    <n v="278029"/>
    <x v="0"/>
    <s v="Strikezone"/>
    <x v="3"/>
    <x v="1"/>
    <x v="1"/>
    <x v="1"/>
    <s v="In Progress"/>
    <m/>
    <m/>
    <s v="Green"/>
    <s v="No"/>
  </r>
  <r>
    <s v="Intl - AMER"/>
    <s v="PR-009890"/>
    <s v="AMER HLS"/>
    <s v="The Promptcare Companies Inc"/>
    <s v="The Promptcare Companies-Fixed Price-100% DISC-Prepaid-009890"/>
    <s v="Jonathan Harrison"/>
    <s v="Spencer Miller"/>
    <s v="Phill Merrell_x000a_pmerrell@promptcare.net"/>
    <n v="198977.72700000001"/>
    <n v="273810"/>
    <x v="0"/>
    <s v="Strikezone"/>
    <x v="3"/>
    <x v="1"/>
    <x v="1"/>
    <x v="1"/>
    <s v="In Progress"/>
    <m/>
    <m/>
    <s v="Green"/>
    <s v="No"/>
  </r>
  <r>
    <s v="Intl - AMER"/>
    <s v="PR-010980"/>
    <s v="AMER HLS"/>
    <s v="CareSource"/>
    <s v="CareSource-Time and Materials-Prepaid-010980"/>
    <s v="Christopher Bingham"/>
    <m/>
    <s v="Pranay Jauhri_x000a_pranay.jauhri@caresource.com"/>
    <m/>
    <n v="225000"/>
    <x v="0"/>
    <s v="Strikezone"/>
    <x v="3"/>
    <x v="0"/>
    <x v="1"/>
    <x v="0"/>
    <s v="In Progress"/>
    <n v="3.5"/>
    <n v="0.5"/>
    <s v="Green"/>
    <s v="No"/>
  </r>
  <r>
    <s v="Intl - AMER"/>
    <s v="PR-009664"/>
    <s v="AMER FINS"/>
    <s v="Alliant Credit Union"/>
    <s v="Alliant Credit Union-Time and Materials-POD-009664"/>
    <s v="John Pellettiere"/>
    <s v="Nolyn Croy"/>
    <m/>
    <n v="229726.80000000002"/>
    <n v="196432"/>
    <x v="0"/>
    <s v="Non-Strikezone"/>
    <x v="3"/>
    <x v="0"/>
    <x v="1"/>
    <x v="0"/>
    <s v="In Progress"/>
    <n v="0.5"/>
    <n v="2"/>
    <s v="Green"/>
    <s v="No"/>
  </r>
  <r>
    <s v="Intl - AMER"/>
    <s v="PR-010614"/>
    <s v="AMER SUMMIT"/>
    <s v="Johnson Controls, Inc."/>
    <s v="Johnson Controls Inc.-Fixed Price-Postpaid-010614"/>
    <s v="Steven Lawrence"/>
    <s v="Spencer Miller"/>
    <s v="Navroop Kaur Bal_x000a_navroop.kaur.bal@jci.com"/>
    <n v="250755"/>
    <n v="185559"/>
    <x v="0"/>
    <s v="Strikezone"/>
    <x v="2"/>
    <x v="0"/>
    <x v="1"/>
    <x v="2"/>
    <s v="In Progress"/>
    <m/>
    <m/>
    <s v="Green"/>
    <s v="No"/>
  </r>
  <r>
    <s v="Intl - AMER"/>
    <s v="PR-010835"/>
    <s v="AMER SUMMIT"/>
    <s v="BJ's Wholesale Club"/>
    <s v="BJ's Wholesale Club.-Hybrid-Service Credit Prepaid-100%Disc-010835"/>
    <s v="Dave Giannattasio"/>
    <m/>
    <s v="Monica Schwartz"/>
    <m/>
    <n v="175000"/>
    <x v="0"/>
    <s v="Strikezone"/>
    <x v="3"/>
    <x v="0"/>
    <x v="1"/>
    <x v="2"/>
    <s v="In Progress"/>
    <n v="2.5"/>
    <n v="2"/>
    <s v="Green"/>
    <s v="No"/>
  </r>
  <r>
    <s v="Intl - AMER"/>
    <s v="PR-010309"/>
    <s v="AMER FINS"/>
    <s v="Equifax Inc."/>
    <s v="Verdad Informatica de Cos-Fixed Price-POD-010309"/>
    <s v="Kristin Collins"/>
    <m/>
    <m/>
    <n v="140143.11000000002"/>
    <n v="166921"/>
    <x v="0"/>
    <s v="Strikezone"/>
    <x v="2"/>
    <x v="0"/>
    <x v="1"/>
    <x v="2"/>
    <s v="In Progress"/>
    <n v="1"/>
    <n v="1"/>
    <s v="Green"/>
    <s v="No"/>
  </r>
  <r>
    <s v="Intl - AMER"/>
    <s v="PR-011038"/>
    <s v="AMER HLS"/>
    <s v="CAMC Health System"/>
    <s v="CAMC Health System-Fixed Price-Postpaid-011038"/>
    <s v="Nawal Alami"/>
    <m/>
    <s v="Jeff Cox_x000a_jeff.cox@vandaliahealth.org_x000a_"/>
    <m/>
    <n v="165480"/>
    <x v="0"/>
    <s v="Strikezone"/>
    <x v="2"/>
    <x v="0"/>
    <x v="1"/>
    <x v="1"/>
    <s v="Yet to Start"/>
    <m/>
    <m/>
    <s v="Green"/>
    <s v="No"/>
  </r>
  <r>
    <s v="Intl - AMER"/>
    <s v="PR-008662"/>
    <s v="AMER SUMMIT"/>
    <s v="Intuit"/>
    <s v="Intuit Inc.-Time and Materials-Prepaid-PR-008662"/>
    <s v="Tylor Basas"/>
    <m/>
    <s v="Maaly Mohamed_x000a_maaly_mohamed@intuit.com"/>
    <n v="81422"/>
    <n v="163900"/>
    <x v="1"/>
    <s v="Non-Strikezone"/>
    <x v="4"/>
    <x v="1"/>
    <x v="0"/>
    <x v="0"/>
    <s v="In Progress"/>
    <n v="0"/>
    <n v="1"/>
    <s v="Green"/>
    <s v="No"/>
  </r>
  <r>
    <s v="Intl - AMER"/>
    <s v="PR-010111"/>
    <s v="AMER SUMMIT"/>
    <s v="PACCAR Inc."/>
    <s v="PACCAR Inc.-Time and Materials-Prepaid-100% Discounted-PR-010111"/>
    <s v="Ryan Cousins"/>
    <s v="Spencer Miller"/>
    <s v="Abhijit.Chaporka  Abhijit.Chaporkar@PACCAR.com"/>
    <n v="100400.64"/>
    <n v="163200"/>
    <x v="1"/>
    <s v="Non-Strikezone"/>
    <x v="4"/>
    <x v="1"/>
    <x v="2"/>
    <x v="1"/>
    <s v="In Progress"/>
    <n v="0.25"/>
    <n v="3.5"/>
    <s v="Green"/>
    <s v="No"/>
  </r>
  <r>
    <s v="Intl - AMER"/>
    <s v="PR-010503"/>
    <s v="AMER SUMMIT"/>
    <s v="Skanska USA"/>
    <s v="Skanska USA- Fixed Price-Prepaid- 100% DISC-010503"/>
    <s v="Aman Alagh"/>
    <m/>
    <m/>
    <n v="152800"/>
    <n v="152800"/>
    <x v="1"/>
    <s v="Non-Strikezone"/>
    <x v="4"/>
    <x v="0"/>
    <x v="1"/>
    <x v="1"/>
    <s v="In Progress"/>
    <m/>
    <n v="1.5"/>
    <s v="Green"/>
    <s v="No"/>
  </r>
  <r>
    <s v="Intl - AMER"/>
    <s v="PR-008575"/>
    <s v="AMER FINS"/>
    <s v="Massachusetts Mutual Life Insurance Company"/>
    <s v="Massachusetts Mutual Life-100%discounted-Service Credit Prepaid-008575"/>
    <s v="Matthew Dirubio"/>
    <m/>
    <s v="Arthur Riel_x000a_ariel11@massmutual.com"/>
    <n v="140220"/>
    <n v="150000"/>
    <x v="0"/>
    <s v="Non-Strikezone"/>
    <x v="3"/>
    <x v="0"/>
    <x v="0"/>
    <x v="2"/>
    <s v="In Progress"/>
    <m/>
    <n v="0.5"/>
    <s v="Green"/>
    <s v="No"/>
  </r>
  <r>
    <s v="Intl - AMER"/>
    <s v="PR-010219"/>
    <s v="AMER Commercial"/>
    <s v="Avista Corporation"/>
    <s v="Avista Corporation-Fixed Price-Service Credit Prepaid-100% Discounted-PR-010219"/>
    <s v="Zane Bushnell"/>
    <m/>
    <s v="Jason Pegg_x000a_ason.pegg@avistacorp.com"/>
    <n v="129259"/>
    <n v="130000"/>
    <x v="0"/>
    <s v="Strikezone"/>
    <x v="2"/>
    <x v="0"/>
    <x v="1"/>
    <x v="2"/>
    <s v="In Progress"/>
    <n v="1"/>
    <n v="1.5"/>
    <s v="Green"/>
    <s v="No"/>
  </r>
  <r>
    <s v="Intl - AMER"/>
    <s v="PR-010758"/>
    <s v="AMER FINS"/>
    <s v="Hub International"/>
    <s v="Hub International-Time and Materials-Postpaid-PR-010758"/>
    <s v="John Pellettiere"/>
    <s v="Nolyn Croy"/>
    <s v="Nguyen, Thach _x000a_thach.nguyen@hubinternational.com"/>
    <m/>
    <n v="128750"/>
    <x v="0"/>
    <s v="Strikezone"/>
    <x v="3"/>
    <x v="1"/>
    <x v="1"/>
    <x v="0"/>
    <s v="In Progress"/>
    <m/>
    <m/>
    <s v="Green"/>
    <s v="No"/>
  </r>
  <r>
    <s v="Intl - AMER"/>
    <s v="PR-009958"/>
    <s v="AMER SUMMIT"/>
    <s v="Snap-On Credit LLC"/>
    <s v="Lydonia Te-Snap-On Credit-Time and Materials-POD-PR-009958"/>
    <s v="Elliott Davis"/>
    <s v="Spencer Miller"/>
    <s v="Kevin Scannell_x000a_kevin@lydonia.ai"/>
    <n v="101890.43000000001"/>
    <n v="124406"/>
    <x v="1"/>
    <s v="Non-Strikezone"/>
    <x v="4"/>
    <x v="1"/>
    <x v="0"/>
    <x v="0"/>
    <s v="In Progress"/>
    <m/>
    <m/>
    <s v="Green"/>
    <s v="No"/>
  </r>
  <r>
    <s v="Intl - AMER"/>
    <s v="PR-010186"/>
    <s v="AMER SUMMIT"/>
    <s v="Group 1 Automotive"/>
    <s v="Group 1 Automotive-Time and Materials-Prepaid-010186"/>
    <s v="Lindsay Kincy"/>
    <m/>
    <s v="Al Omari_x000a_aomari@group1auto.com"/>
    <n v="127759.5"/>
    <n v="123750"/>
    <x v="1"/>
    <s v="Non-Strikezone"/>
    <x v="4"/>
    <x v="1"/>
    <x v="0"/>
    <x v="0"/>
    <s v="In Progress"/>
    <m/>
    <n v="2"/>
    <s v="Green"/>
    <s v="No"/>
  </r>
  <r>
    <s v="Intl - AMER"/>
    <s v="PR-010346"/>
    <s v="AMER FINS"/>
    <s v="Hub International"/>
    <s v="Hub International-Hybrid-POD-010346"/>
    <s v="John Pellettiere"/>
    <s v="Nolyn Croy"/>
    <s v="Nguyen, Thach _x000a_thach.nguyen@hubinternational.com"/>
    <n v="112383.102"/>
    <n v="121127"/>
    <x v="0"/>
    <s v="Strikezone"/>
    <x v="3"/>
    <x v="1"/>
    <x v="1"/>
    <x v="0"/>
    <s v="In Progress"/>
    <n v="6.5"/>
    <n v="2.5"/>
    <s v="Green"/>
    <s v="No"/>
  </r>
  <r>
    <s v="Intl - AMER"/>
    <s v="PR-010216"/>
    <s v="AMER SUMMIT"/>
    <s v="Leica Microsystems Inc."/>
    <s v="Leica Microsystems Inc.-Time and Materials-Prepaid-PR-010216"/>
    <m/>
    <m/>
    <m/>
    <n v="90594.240000000005"/>
    <n v="105600"/>
    <x v="1"/>
    <s v="Non-Strikezone"/>
    <x v="4"/>
    <x v="1"/>
    <x v="2"/>
    <x v="0"/>
    <s v="In Progress"/>
    <m/>
    <m/>
    <s v="Green"/>
    <s v="No"/>
  </r>
  <r>
    <s v="Intl - AMER"/>
    <s v="PR-010897"/>
    <s v="AMER SUMMIT"/>
    <s v="PACCAR Inc."/>
    <s v="PACCAR Inc.-Fixed Fee-Prepaid-010897"/>
    <s v="Ryan Cousins"/>
    <s v="Spencer Miller"/>
    <s v="Abhijit.Chaporka  Abhijit.Chaporkar@PACCAR.com"/>
    <m/>
    <n v="102000"/>
    <x v="1"/>
    <s v="Non-Strikezone"/>
    <x v="4"/>
    <x v="1"/>
    <x v="2"/>
    <x v="1"/>
    <s v="In Progress"/>
    <m/>
    <m/>
    <s v="Green"/>
    <s v="No"/>
  </r>
  <r>
    <s v="Intl - AMER"/>
    <s v="PR-010716"/>
    <s v="AMER Commercial"/>
    <s v="Angelo Gordon US"/>
    <s v="Lydonia Te-Angelo Gordon-Time and Materials-POD-010716"/>
    <s v="_x000a_Zach Elkinson"/>
    <s v="Spencer Miller"/>
    <s v="Michael Mullaney_x000a_mmullaney@glanbia.ie"/>
    <m/>
    <n v="101575.65"/>
    <x v="1"/>
    <s v="Non-Strikezone"/>
    <x v="4"/>
    <x v="1"/>
    <x v="0"/>
    <x v="0"/>
    <s v="In Progress"/>
    <m/>
    <m/>
    <s v="Green"/>
    <s v="No"/>
  </r>
  <r>
    <s v="Intl - AMER"/>
    <s v="PR-010548"/>
    <s v="AMER SUMMIT"/>
    <s v="Total Quality Logistics"/>
    <s v="Total Quality Logistics-Hybrid-Service Credit Prepaid-100%Disc-PR-010548"/>
    <s v="Brandon Sage"/>
    <s v="Nolyn Croy"/>
    <m/>
    <m/>
    <n v="100000"/>
    <x v="0"/>
    <s v="Strikezone"/>
    <x v="3"/>
    <x v="1"/>
    <x v="1"/>
    <x v="2"/>
    <s v="In Progress"/>
    <n v="1"/>
    <n v="1.75"/>
    <s v="Green"/>
    <s v="No"/>
  </r>
  <r>
    <s v="Intl - AMER"/>
    <s v="PR-009156"/>
    <s v="AMER Commercial"/>
    <s v="America Fujikura Ltd"/>
    <s v="Lydonia Te-America Fujiku-Time and Materials-POD-009156"/>
    <s v="Behrad Shahnavaz"/>
    <s v="Spencer Miller"/>
    <s v="Michael Mullaney_x000a_mmullaney@glanbia.ie"/>
    <n v="14672.347250000001"/>
    <n v="93934.77"/>
    <x v="0"/>
    <s v="Non-Strikezone"/>
    <x v="3"/>
    <x v="1"/>
    <x v="0"/>
    <x v="0"/>
    <s v="In Progress"/>
    <n v="0"/>
    <n v="1"/>
    <s v="Green"/>
    <s v="No"/>
  </r>
  <r>
    <s v="Intl - AMER"/>
    <s v="PR-010537"/>
    <s v="AMER Public Sector"/>
    <s v="Columbus State University: GEORGIA BOARD OF REGENTS"/>
    <s v="Skanska USA- Fixed Price-Prepaid- 100% DISC-010503"/>
    <s v="Jack Persinger"/>
    <m/>
    <s v="Ted Laskaris_x000a_laskaris_theodore@columbusstate.edu"/>
    <n v="128180"/>
    <n v="91007"/>
    <x v="0"/>
    <s v="Strikezone"/>
    <x v="3"/>
    <x v="0"/>
    <x v="1"/>
    <x v="1"/>
    <s v="In Progress"/>
    <m/>
    <n v="1.5"/>
    <s v="Green"/>
    <s v="No"/>
  </r>
  <r>
    <s v="Intl - AMER"/>
    <s v="PR-010528"/>
    <s v="AMER FINS"/>
    <s v="Endurance Services Limited"/>
    <s v="Endurance Services Limite-Fixed Price-POD-PR-010520"/>
    <s v="Graham Newby"/>
    <m/>
    <s v="Joseph Fox jfox@sompo-intl.com"/>
    <n v="86818"/>
    <n v="86818"/>
    <x v="0"/>
    <s v="Strikezone"/>
    <x v="3"/>
    <x v="0"/>
    <x v="1"/>
    <x v="1"/>
    <s v="In Progress"/>
    <m/>
    <n v="1"/>
    <s v="Green"/>
    <s v="No"/>
  </r>
  <r>
    <s v="Intl - AMER"/>
    <s v="PR-009360"/>
    <s v="AMER SUMMIT"/>
    <s v="Comcast (Cable Communications)"/>
    <s v="Comcast (Cable Communicat-Fixed Price-Prepaid 100% Discounted-009360"/>
    <s v="Jessica Madigan"/>
    <m/>
    <s v="Sandra Lau_x000a_sandra_lau@comcast.com"/>
    <n v="620418.24900000007"/>
    <n v="82540"/>
    <x v="1"/>
    <s v="Strikezone"/>
    <x v="4"/>
    <x v="0"/>
    <x v="1"/>
    <x v="1"/>
    <s v="In Progress"/>
    <n v="0.5"/>
    <n v="2"/>
    <s v="Green"/>
    <s v="No"/>
  </r>
  <r>
    <s v="Intl - AMER"/>
    <s v="PR-009439"/>
    <s v="AMER SUMMIT"/>
    <s v="Veolia WTS Services USA"/>
    <s v="Veolia WTS USA Inc.-Fixed Price-POD-009439"/>
    <s v="Jim Stricker"/>
    <s v="Spencer Miller"/>
    <s v="Trevor Tom_x000a_trevor.tom@veolia.com"/>
    <n v="16588.8"/>
    <n v="81000"/>
    <x v="1"/>
    <s v="Non-Strikezone"/>
    <x v="4"/>
    <x v="1"/>
    <x v="2"/>
    <x v="1"/>
    <s v="In Progress"/>
    <n v="0.25"/>
    <n v="1"/>
    <s v="Green"/>
    <s v="No"/>
  </r>
  <r>
    <s v="Intl - AMER"/>
    <s v="PR-010414"/>
    <s v="AMER SUMMIT"/>
    <s v="Intuit"/>
    <s v="Intuit Inc.-Time and Materials-Prepaid - PR-010414"/>
    <s v="Brittney Thurman"/>
    <m/>
    <s v="Jean Cote_x000a_jean-henri_cote@intuit.com"/>
    <n v="103840"/>
    <n v="78100"/>
    <x v="1"/>
    <s v="Non-Strikezone"/>
    <x v="4"/>
    <x v="1"/>
    <x v="0"/>
    <x v="0"/>
    <s v="In Progress"/>
    <m/>
    <m/>
    <s v="Green"/>
    <s v="No"/>
  </r>
  <r>
    <s v="Intl - AMER"/>
    <s v="PR-010307"/>
    <s v="AMER SUMMIT"/>
    <s v="Take-Two Interactive Software, Inc."/>
    <s v="Take-Two Interactive Soft-Time and Materials-Prepaid (PR-010307)"/>
    <s v="Aman Alagh"/>
    <m/>
    <s v="Parag Khairnar_x000a_parag.khairnar@take2games.com"/>
    <n v="84480"/>
    <n v="78100"/>
    <x v="1"/>
    <s v="Non-Strikezone"/>
    <x v="4"/>
    <x v="1"/>
    <x v="0"/>
    <x v="0"/>
    <s v="In Progress"/>
    <n v="0"/>
    <n v="1"/>
    <s v="Green"/>
    <s v="No"/>
  </r>
  <r>
    <s v="Intl - AMER"/>
    <s v="PR-009051"/>
    <s v="AMER SUMMIT"/>
    <s v="Take-Two Interactive Software, Inc."/>
    <s v="Take-Two Interactive Soft-Time and Materials-Prepaid (PR-010308)"/>
    <s v="Aman Alagh"/>
    <m/>
    <s v="Parag Khairnar_x000a_parag.khairnar@take2games.com"/>
    <n v="5720.0000000000055"/>
    <n v="78100"/>
    <x v="1"/>
    <s v="Non-Strikezone"/>
    <x v="4"/>
    <x v="1"/>
    <x v="0"/>
    <x v="0"/>
    <s v="In Progress"/>
    <n v="0"/>
    <n v="1"/>
    <s v="Green"/>
    <s v="No"/>
  </r>
  <r>
    <s v="Intl - AMER"/>
    <s v="PR-010150"/>
    <s v="AMER Commercial"/>
    <s v="America Fujikura Ltd"/>
    <s v="Lydonia Te-America Fujiku-Time and Materials-POD-010150"/>
    <s v="_x000a_Zach Elkinson"/>
    <s v="Spencer Miller"/>
    <s v="Kevin Scannell_x000a_kevin@lydonia.ai"/>
    <n v="86120.16"/>
    <n v="75544"/>
    <x v="0"/>
    <s v="Non-Strikezone"/>
    <x v="3"/>
    <x v="1"/>
    <x v="0"/>
    <x v="0"/>
    <s v="In Progress"/>
    <m/>
    <m/>
    <s v="Green"/>
    <s v="No"/>
  </r>
  <r>
    <s v="Intl - AMER"/>
    <s v="PR-009950"/>
    <s v="AMER SUMMIT"/>
    <s v="Amazon - Global Freight Partner Program"/>
    <s v="Amazon - Global Freight P-Fixed Price-Prepaid-009950"/>
    <s v="Mohammed Danish Majeed"/>
    <m/>
    <m/>
    <n v="106684.59999999999"/>
    <n v="74994"/>
    <x v="1"/>
    <s v="Strikezone"/>
    <x v="4"/>
    <x v="0"/>
    <x v="1"/>
    <x v="1"/>
    <s v="On HOLD"/>
    <m/>
    <m/>
    <s v="Green"/>
    <s v="No"/>
  </r>
  <r>
    <s v="Intl - AMER"/>
    <s v="PR-010393"/>
    <s v="AMER SUMMIT"/>
    <s v="Take-Two Interactive Software, Inc."/>
    <s v="Take-Two Interactive Soft-Time and Materials-Prepaid (PR-010393)"/>
    <s v="Aman Alagh"/>
    <m/>
    <s v="Parag Khairnar_x000a_parag.khairnar@take2games.com"/>
    <n v="99000"/>
    <n v="70290"/>
    <x v="1"/>
    <s v="Non-Strikezone"/>
    <x v="4"/>
    <x v="1"/>
    <x v="0"/>
    <x v="0"/>
    <s v="In Progress"/>
    <n v="0"/>
    <n v="1"/>
    <s v="Green"/>
    <s v="No"/>
  </r>
  <r>
    <s v="Intl - AMER"/>
    <s v="PR-010545"/>
    <s v="AMER HLS"/>
    <s v="Tenet Business Services Corporation"/>
    <s v="Tenet Business Services C-Fixed Price-Prepaid-010545"/>
    <s v="Clinton Brown"/>
    <s v="Spencer Miller"/>
    <s v="Plott, Todd todd.plott@tenethealth.net"/>
    <m/>
    <n v="63660"/>
    <x v="1"/>
    <s v="Non-Strikezone"/>
    <x v="4"/>
    <x v="1"/>
    <x v="2"/>
    <x v="1"/>
    <s v="In Progress"/>
    <m/>
    <m/>
    <s v="Green"/>
    <s v="No"/>
  </r>
  <r>
    <s v="Intl - AMER"/>
    <s v="PR-010227"/>
    <s v="AMER SUMMIT"/>
    <s v="Snap-On Credit LLC"/>
    <s v="Lydonia Te-Snap-On Credit-Time and Materials-POD-PR-010227"/>
    <s v="Elliott Davis"/>
    <s v="Spencer Miller"/>
    <s v="Kevin Scannell_x000a_kevin@lydonia.ai"/>
    <n v="60945.5"/>
    <n v="54670"/>
    <x v="1"/>
    <s v="Non-Strikezone"/>
    <x v="4"/>
    <x v="1"/>
    <x v="0"/>
    <x v="0"/>
    <s v="In Progress"/>
    <m/>
    <m/>
    <s v="Green"/>
    <s v="No"/>
  </r>
  <r>
    <s v="Intl - AMER"/>
    <s v="PR-010757"/>
    <s v="AMER HLS"/>
    <s v="Memorial Sloan Kettering Cancer Center"/>
    <s v="Memorial Sloan Kettering-Time and Materials-Prepaid-PR-010757"/>
    <m/>
    <m/>
    <m/>
    <m/>
    <n v="53400"/>
    <x v="0"/>
    <s v="Strikezone"/>
    <x v="3"/>
    <x v="0"/>
    <x v="1"/>
    <x v="0"/>
    <s v="In Progress"/>
    <m/>
    <n v="1"/>
    <s v="Green"/>
    <s v="No"/>
  </r>
  <r>
    <s v="Intl - AMER"/>
    <s v="PR-010590"/>
    <s v="AMER FINS"/>
    <s v="Bank of America (Global)"/>
    <s v="Bank of America (Global)-Time and Materials-Prepaid-010590"/>
    <s v="Andrew Warren"/>
    <m/>
    <s v="Nye Allen_x000a_nye.allen@bofa.com"/>
    <n v="52800"/>
    <n v="52800"/>
    <x v="1"/>
    <s v="Non-Strikezone"/>
    <x v="4"/>
    <x v="1"/>
    <x v="0"/>
    <x v="0"/>
    <s v="Yet to Start"/>
    <m/>
    <m/>
    <s v="Green"/>
    <s v="No"/>
  </r>
  <r>
    <s v="Intl - AMER"/>
    <s v="PR-010644"/>
    <s v="AMER HLS"/>
    <s v="J&amp;J World HQ-NJ"/>
    <s v="J&amp;J World HQ-NJ-Time and Materials-Prepaid-010644"/>
    <s v="Kostas Kouiroukidis"/>
    <m/>
    <s v="Venkatesan Jayaraman_x000a_vjayara2@its.jnj.com"/>
    <n v="60040"/>
    <n v="42628"/>
    <x v="1"/>
    <s v="Non-Strikezone"/>
    <x v="4"/>
    <x v="0"/>
    <x v="1"/>
    <x v="2"/>
    <s v="In Progress"/>
    <m/>
    <m/>
    <s v="Green"/>
    <s v="No"/>
  </r>
  <r>
    <s v="Intl - AMER"/>
    <s v="PR-008300"/>
    <s v="AMER FINS"/>
    <s v="JP Morgan Chase (Global)"/>
    <s v="JP Morgan Chase(Global-Fixed Price-Service Credit Prepaid-100% Discounted-008300"/>
    <s v="Aaron Greenblatt"/>
    <m/>
    <s v="shefali.shah@jpmchase.com"/>
    <n v="123478.39999999998"/>
    <n v="35345"/>
    <x v="0"/>
    <s v="Strikezone"/>
    <x v="3"/>
    <x v="0"/>
    <x v="1"/>
    <x v="2"/>
    <s v="In Progress"/>
    <n v="0.25"/>
    <n v="2"/>
    <s v="Green"/>
    <s v="No"/>
  </r>
  <r>
    <s v="Intl - AMER"/>
    <s v="PR-011265"/>
    <s v="INT South Asia India Professional Services Sales"/>
    <s v="Accenture India"/>
    <s v="Accenture India-Time and Materials-Prepaid-100%Disc-011265"/>
    <s v="Girish Kumar J"/>
    <m/>
    <m/>
    <m/>
    <n v="34698.199999999997"/>
    <x v="0"/>
    <s v="Strikezone"/>
    <x v="3"/>
    <x v="1"/>
    <x v="0"/>
    <x v="0"/>
    <s v="In Progress"/>
    <m/>
    <n v="1"/>
    <s v="Green"/>
    <s v="No"/>
  </r>
  <r>
    <s v="Intl - AMER"/>
    <s v="PR-010064"/>
    <s v="AMER Commercial"/>
    <s v="Edgewell Personal Care Brands, LLC"/>
    <s v="Edgewell Personal Care Br-Fixed Price-Service Credit Prepaid-100% disc_PR-010064"/>
    <s v="Timothy Hulbert"/>
    <m/>
    <s v="Brian Mazdra_x000a_brian.mazdra@edgewell.com"/>
    <n v="25000"/>
    <n v="25000"/>
    <x v="1"/>
    <s v="Non-Strikezone"/>
    <x v="4"/>
    <x v="0"/>
    <x v="1"/>
    <x v="2"/>
    <s v="Yet to Start"/>
    <m/>
    <m/>
    <s v="Green"/>
    <s v="No"/>
  </r>
  <r>
    <s v="Test - AMER"/>
    <s v="PR-010535"/>
    <s v="AMER FINS"/>
    <s v="Guardian Life Insurance Company of America Inc"/>
    <s v="Guardian Life Insurance C-Time and Materials-Prepaid-010535"/>
    <s v="Ryan Garnett"/>
    <s v="Lisa Goodman"/>
    <m/>
    <n v="21840"/>
    <n v="21840"/>
    <x v="0"/>
    <s v="Non-Strikezone"/>
    <x v="1"/>
    <x v="1"/>
    <x v="1"/>
    <x v="2"/>
    <s v="In Progress"/>
    <n v="2"/>
    <m/>
    <s v="Green"/>
    <m/>
  </r>
  <r>
    <s v="Intl - AMER"/>
    <s v="PR-009919"/>
    <s v="AMER HLS"/>
    <s v="Tenet Business Services Corporation"/>
    <s v="Tenet Business Services C-Time and Materials-Prepaid-PR-009919"/>
    <s v="Clinton Brown"/>
    <s v="Spencer Miller"/>
    <s v="Plott, Todd todd.plott@tenethealth.net"/>
    <n v="21700"/>
    <n v="21700"/>
    <x v="1"/>
    <s v="Non-Strikezone"/>
    <x v="4"/>
    <x v="1"/>
    <x v="2"/>
    <x v="1"/>
    <s v="On HOLD"/>
    <n v="0.25"/>
    <n v="3.5"/>
    <s v="Green"/>
    <s v="No"/>
  </r>
  <r>
    <s v="Intl - AMER"/>
    <s v="PR-010396"/>
    <s v="AMER SUMMIT"/>
    <s v="DENSO International America, Inc."/>
    <s v="DENSO International Ameri-Time and Materials-Prepaid-010396"/>
    <s v="Chris Leblanc"/>
    <m/>
    <s v="Jonathan Tylutki_x000a_jonathan.tylutki@na.denso.com"/>
    <n v="15000"/>
    <n v="15000"/>
    <x v="1"/>
    <s v="Strikezone"/>
    <x v="4"/>
    <x v="1"/>
    <x v="0"/>
    <x v="0"/>
    <s v="In Progress"/>
    <m/>
    <m/>
    <s v="Green"/>
    <s v="No"/>
  </r>
  <r>
    <s v="Intl - AMER"/>
    <s v="PR-010394"/>
    <s v="AMER SUMMIT"/>
    <s v="DENSO International America, Inc."/>
    <s v="DENSO International Ameri-Time and Materials-Prepaid-010394"/>
    <s v="Chris Leblanc"/>
    <m/>
    <s v="Jonathan Tylutki_x000a_jonathan.tylutki@na.denso.com"/>
    <n v="6000"/>
    <n v="6000"/>
    <x v="1"/>
    <s v="Strikezone"/>
    <x v="4"/>
    <x v="1"/>
    <x v="0"/>
    <x v="0"/>
    <s v="In Progress"/>
    <m/>
    <m/>
    <s v="Green"/>
    <s v="No"/>
  </r>
  <r>
    <s v="Intl - AMER"/>
    <s v="PR-011233"/>
    <s v="AMER HLS"/>
    <s v="IntegriChain Inc"/>
    <s v="IntegriChain Inc-Fixed Fee-Postpaid-011233"/>
    <s v="William Robinson"/>
    <s v="Lindsay Galvin"/>
    <m/>
    <m/>
    <n v="5000"/>
    <x v="0"/>
    <s v="Strikezone"/>
    <x v="2"/>
    <x v="1"/>
    <x v="1"/>
    <x v="1"/>
    <s v="In Progress"/>
    <m/>
    <n v="1.5"/>
    <s v="Green"/>
    <s v="No"/>
  </r>
  <r>
    <s v="Intl - AMER"/>
    <s v="PR-010347"/>
    <s v="AMER Commercial"/>
    <s v="Falvey Insurance Group"/>
    <s v="Lydonia Te-Falvey Insuran-Time and Materials-POD-010347"/>
    <s v="Zach Elkinson"/>
    <s v="Spencer Miller"/>
    <s v="Michael Mullaney_x000a_mmullaney@glanbia.ie"/>
    <n v="5085"/>
    <n v="3993.75"/>
    <x v="1"/>
    <s v="Non-Strikezone"/>
    <x v="4"/>
    <x v="1"/>
    <x v="0"/>
    <x v="0"/>
    <s v="On HOLD"/>
    <m/>
    <m/>
    <s v="Green"/>
    <s v="No"/>
  </r>
  <r>
    <s v="Intl - AMER"/>
    <s v="PR-010925"/>
    <s v="Internal"/>
    <s v="UiPath Inc"/>
    <s v="PSSD-1137- Internal Cross Charge - Automations for Internal ProServe-010925"/>
    <m/>
    <m/>
    <m/>
    <m/>
    <n v="0"/>
    <x v="0"/>
    <s v="Strikezone"/>
    <x v="3"/>
    <x v="0"/>
    <x v="1"/>
    <x v="1"/>
    <s v="In Progress"/>
    <n v="1"/>
    <m/>
    <s v="Green"/>
    <s v="No"/>
  </r>
  <r>
    <m/>
    <m/>
    <m/>
    <m/>
    <m/>
    <m/>
    <m/>
    <m/>
    <m/>
    <m/>
    <x v="2"/>
    <m/>
    <x v="6"/>
    <x v="2"/>
    <x v="3"/>
    <x v="3"/>
    <m/>
    <m/>
    <m/>
    <m/>
    <m/>
  </r>
  <r>
    <m/>
    <m/>
    <m/>
    <m/>
    <m/>
    <m/>
    <m/>
    <m/>
    <m/>
    <m/>
    <x v="2"/>
    <m/>
    <x v="6"/>
    <x v="2"/>
    <x v="3"/>
    <x v="3"/>
    <m/>
    <m/>
    <m/>
    <m/>
    <m/>
  </r>
  <r>
    <m/>
    <m/>
    <m/>
    <m/>
    <m/>
    <m/>
    <m/>
    <m/>
    <m/>
    <m/>
    <x v="2"/>
    <m/>
    <x v="6"/>
    <x v="2"/>
    <x v="3"/>
    <x v="3"/>
    <m/>
    <m/>
    <m/>
    <m/>
    <m/>
  </r>
  <r>
    <m/>
    <m/>
    <m/>
    <m/>
    <m/>
    <m/>
    <m/>
    <m/>
    <m/>
    <m/>
    <x v="2"/>
    <m/>
    <x v="6"/>
    <x v="2"/>
    <x v="3"/>
    <x v="3"/>
    <m/>
    <m/>
    <m/>
    <m/>
    <m/>
  </r>
  <r>
    <m/>
    <m/>
    <m/>
    <m/>
    <m/>
    <m/>
    <m/>
    <m/>
    <m/>
    <m/>
    <x v="2"/>
    <m/>
    <x v="6"/>
    <x v="2"/>
    <x v="3"/>
    <x v="3"/>
    <m/>
    <m/>
    <m/>
    <m/>
    <m/>
  </r>
  <r>
    <m/>
    <m/>
    <m/>
    <m/>
    <m/>
    <m/>
    <m/>
    <m/>
    <m/>
    <m/>
    <x v="2"/>
    <m/>
    <x v="6"/>
    <x v="2"/>
    <x v="3"/>
    <x v="3"/>
    <m/>
    <m/>
    <m/>
    <m/>
    <m/>
  </r>
  <r>
    <m/>
    <m/>
    <m/>
    <m/>
    <m/>
    <m/>
    <m/>
    <m/>
    <m/>
    <m/>
    <x v="2"/>
    <m/>
    <x v="6"/>
    <x v="2"/>
    <x v="3"/>
    <x v="3"/>
    <m/>
    <m/>
    <m/>
    <m/>
    <m/>
  </r>
  <r>
    <m/>
    <m/>
    <m/>
    <m/>
    <m/>
    <m/>
    <m/>
    <m/>
    <m/>
    <m/>
    <x v="2"/>
    <m/>
    <x v="6"/>
    <x v="2"/>
    <x v="3"/>
    <x v="3"/>
    <m/>
    <m/>
    <m/>
    <m/>
    <m/>
  </r>
  <r>
    <m/>
    <m/>
    <m/>
    <m/>
    <m/>
    <m/>
    <m/>
    <m/>
    <m/>
    <m/>
    <x v="2"/>
    <m/>
    <x v="6"/>
    <x v="2"/>
    <x v="3"/>
    <x v="3"/>
    <m/>
    <m/>
    <m/>
    <m/>
    <m/>
  </r>
  <r>
    <m/>
    <m/>
    <m/>
    <m/>
    <m/>
    <m/>
    <m/>
    <m/>
    <m/>
    <m/>
    <x v="2"/>
    <m/>
    <x v="6"/>
    <x v="2"/>
    <x v="3"/>
    <x v="3"/>
    <m/>
    <m/>
    <m/>
    <m/>
    <m/>
  </r>
  <r>
    <m/>
    <m/>
    <m/>
    <m/>
    <m/>
    <m/>
    <m/>
    <m/>
    <m/>
    <m/>
    <x v="2"/>
    <m/>
    <x v="6"/>
    <x v="2"/>
    <x v="3"/>
    <x v="3"/>
    <m/>
    <m/>
    <m/>
    <m/>
    <m/>
  </r>
  <r>
    <m/>
    <m/>
    <m/>
    <m/>
    <n v="750"/>
    <m/>
    <m/>
    <m/>
    <m/>
    <m/>
    <x v="2"/>
    <m/>
    <x v="6"/>
    <x v="2"/>
    <x v="3"/>
    <x v="3"/>
    <m/>
    <m/>
    <m/>
    <m/>
    <m/>
  </r>
  <r>
    <m/>
    <m/>
    <m/>
    <m/>
    <m/>
    <m/>
    <m/>
    <m/>
    <m/>
    <m/>
    <x v="2"/>
    <m/>
    <x v="6"/>
    <x v="2"/>
    <x v="3"/>
    <x v="3"/>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n v="1"/>
    <s v="Intl - AMER"/>
    <s v="PR-005449"/>
    <s v="AMER FINS"/>
    <s v="Liberty Mutual Insurance"/>
    <s v="Liberty Mutual Insurance-Hybrid-Service Credit Prepaid-100% Discounted-005449"/>
    <s v="Andrew Warren"/>
    <m/>
    <s v="george.kochiii@libertymutual.com"/>
    <n v="90230.000000000015"/>
    <n v="7000000"/>
    <s v="Growth"/>
    <s v="Strikezone"/>
    <s v="Apps, API"/>
    <s v="India/US"/>
    <s v="Staff Aug"/>
    <s v="T&amp;M"/>
    <x v="0"/>
    <m/>
    <n v="1"/>
    <s v="Green"/>
    <s v="No"/>
    <s v=" Apps and API's are extensively used in the automation, 1 developer from PS India is supporting with the development, frequent changes from customer are being incorporated and moving ahead."/>
    <d v="2023-01-29T00:00:00"/>
    <d v="2026-03-20T00:00:00"/>
    <s v="Thiyag"/>
  </r>
  <r>
    <n v="2"/>
    <s v="Test - AMER"/>
    <s v="PR-009073"/>
    <s v="AMER SUMMIT"/>
    <s v="Google Inc"/>
    <s v="Google Inc.-Fixed Price-Prepaid-100% Discounted-009073"/>
    <s v="Tylor Basas"/>
    <s v="Nolyn Croy"/>
    <m/>
    <n v="4552146.5"/>
    <n v="5402500"/>
    <s v="Growth"/>
    <s v="Strikezone"/>
    <s v="Test Cloud"/>
    <s v="India/US"/>
    <s v="Delivery"/>
    <s v="Fixed Fee"/>
    <x v="0"/>
    <n v="3"/>
    <m/>
    <s v="Red"/>
    <s v="Yes"/>
    <s v="Customer Delays, Project delayed Drivers : Infra, Onboarding process and Security Review"/>
    <d v="2024-07-31T00:00:00"/>
    <d v="2026-07-30T00:00:00"/>
    <s v="Alain Herrera"/>
  </r>
  <r>
    <n v="3"/>
    <s v="Intl - AMER"/>
    <s v="PR-0101280"/>
    <s v="AMER HLS"/>
    <s v="CIGNA"/>
    <s v="CIGNA-Hybrid-Service Credit Prepaid-100% Discounted-PR-010280"/>
    <s v="Ryan Poole"/>
    <m/>
    <m/>
    <e v="#N/A"/>
    <n v="2500000"/>
    <s v="Growth"/>
    <s v="Strikezone"/>
    <s v="Agentic"/>
    <s v="India/US"/>
    <s v="Delivery"/>
    <s v="Service Credit"/>
    <x v="1"/>
    <m/>
    <m/>
    <s v="Green"/>
    <s v="No"/>
    <s v="Project on Hold due to technical feasibility, Product team has responded not feasible to automate through Agentic"/>
    <d v="2025-07-01T00:00:00"/>
    <d v="2027-06-30T00:00:00"/>
    <s v="Aditya Kottapalli"/>
  </r>
  <r>
    <n v="4"/>
    <s v="Intl - AMER"/>
    <s v="PR-004732"/>
    <s v="AMER HLS"/>
    <s v="HCA Information Technology &amp; Services, Inc."/>
    <s v="HCA – Information Technol-Hybrid-Service Credit Prepaid-004732"/>
    <s v="Susan Belovich"/>
    <m/>
    <s v="Daniel Alexander_x000a_daniel.alexander@hcahealthcare.com"/>
    <m/>
    <n v="2500000"/>
    <s v="Growth"/>
    <s v="Strikezone"/>
    <s v="XP/GenAI/Comms Mining"/>
    <s v="India/US"/>
    <s v="Delivery"/>
    <s v="Service Credit"/>
    <x v="0"/>
    <m/>
    <m/>
    <s v="Green"/>
    <s v="No"/>
    <s v="DU/IXP implementation, Dev onboarding in progress"/>
    <d v="2022-10-31T00:00:00"/>
    <d v="2026-04-30T00:00:00"/>
    <s v="Whitney Holmes"/>
  </r>
  <r>
    <n v="5"/>
    <s v="Intl - AMER"/>
    <s v="PR-010148"/>
    <s v="AMER SUMMIT"/>
    <s v="Apple"/>
    <s v="Apple-Fixed Price-Service Credit Prepaid 100% Discounted-PR-010148"/>
    <s v="Ryan Edmundowicz"/>
    <m/>
    <s v="Bosco D'Silva_x000a_bdsilva@apple.com"/>
    <n v="1782730"/>
    <n v="2300000"/>
    <s v="Core"/>
    <s v="Strikezone"/>
    <s v="Core"/>
    <s v="India/US"/>
    <s v="Delivery"/>
    <s v="Service Credit"/>
    <x v="0"/>
    <n v="2"/>
    <n v="5"/>
    <s v="Green"/>
    <s v="No"/>
    <s v="Implementation of Core RPA use cases, SA and Developers from PS India - BA and PM from PS US"/>
    <d v="2025-05-27T00:00:00"/>
    <d v="2027-05-26T00:00:00"/>
    <s v="Alain Herrera"/>
  </r>
  <r>
    <n v="6"/>
    <s v="Test - AMER"/>
    <s v="PR-009742"/>
    <s v="AMER FINS"/>
    <s v="Wells Fargo (Global)"/>
    <s v="Wells Fargo (Global)-Hybrid-Service Credit-100% Disc- Prepaid-009742"/>
    <m/>
    <s v="Nolyn Croy"/>
    <m/>
    <n v="589279.99999999988"/>
    <n v="1600000"/>
    <s v="Growth"/>
    <s v="Non-Strikezone"/>
    <s v="Test Cloud"/>
    <s v="India"/>
    <s v="Staff Aug"/>
    <s v="T&amp;M"/>
    <x v="0"/>
    <n v="12"/>
    <n v="14"/>
    <s v="Green"/>
    <s v="No"/>
    <s v="Migration Completed "/>
    <d v="2025-04-01T00:00:00"/>
    <d v="2026-09-30T00:00:00"/>
    <s v="Thiyag"/>
  </r>
  <r>
    <n v="7"/>
    <s v="Intl - AMER"/>
    <s v="PR-008208"/>
    <s v="AMER GSI"/>
    <s v="Deloitte Global Services LLP"/>
    <s v="Deloitte Global Services-Hybrid-Service Credit Prepaid-PR-008208"/>
    <s v="Erika Laughlin"/>
    <m/>
    <s v="_x000a_Ragu Gurumurthy_x000a_rgurumurthy@deloitte.com_x000a_"/>
    <n v="924189"/>
    <n v="1470000"/>
    <s v="Core"/>
    <s v="Strikezone"/>
    <s v="Core"/>
    <s v="India"/>
    <s v="Delivery"/>
    <s v="Service Credit"/>
    <x v="0"/>
    <n v="2"/>
    <n v="4"/>
    <s v="Green"/>
    <s v="No"/>
    <s v="Delivery of Assignment Generation and Governance and Compliance  use cases_x000a_Completed Phase I &amp; II , CR Phase 1 completed and Phase 2 in progress"/>
    <d v="2023-10-30T00:00:00"/>
    <d v="2026-10-30T00:00:00"/>
    <s v="Kamal"/>
  </r>
  <r>
    <n v="8"/>
    <s v="Intl - AMER"/>
    <s v="PR-008086"/>
    <s v="AMER FINS"/>
    <s v="Citizens Bank, National Association"/>
    <s v="Citizens Bank National A-Fixed Price-100% disc.-Service Credit Prepaid-008086"/>
    <s v="Aaron Greenblatt"/>
    <m/>
    <s v="Matthew Lavoie_x000a_matthew.d.lavoie@citizensbank"/>
    <n v="182649.99999999994"/>
    <n v="1300000"/>
    <s v="Core"/>
    <s v="Non-Strikezone"/>
    <s v="Core"/>
    <s v="India"/>
    <s v="Staff Aug"/>
    <s v="Fixed Fee"/>
    <x v="0"/>
    <n v="1"/>
    <n v="6"/>
    <s v="Green"/>
    <s v="No"/>
    <s v="BP to UiPath Migrations, new impelmentations, functionality enhancements of BOT's already deployed in Prod"/>
    <d v="2023-11-23T00:00:00"/>
    <d v="2026-11-23T00:00:00"/>
    <s v="Thiyag"/>
  </r>
  <r>
    <n v="9"/>
    <s v="Intl - AMER"/>
    <s v="PR-009786"/>
    <s v="AMER Commercial"/>
    <s v="Icertis, Inc."/>
    <s v="Icertis Inc.-Hybrid-Service Credit Prepaid-PR-009786"/>
    <s v="Lawrence Dixon"/>
    <m/>
    <s v="Todd Smith_x000a_todd.smith@icertis.com"/>
    <n v="989300"/>
    <n v="1000000"/>
    <s v="Growth"/>
    <s v="Non-Strikezone"/>
    <s v="XP/GenAI/Comms Mining"/>
    <s v="India"/>
    <s v="Delivery"/>
    <s v="Service Credit"/>
    <x v="0"/>
    <n v="0.5"/>
    <n v="2"/>
    <s v="Green"/>
    <s v="No"/>
    <s v="Implementation of DU Use case and explorig ROI of 10 use cases accorss Finance and HR domains - All Indi Staffig"/>
    <d v="2025-01-31T00:00:00"/>
    <d v="2027-01-30T00:00:00"/>
    <s v="Kamal"/>
  </r>
  <r>
    <n v="10"/>
    <s v="Test - AMER"/>
    <s v="PR-009807"/>
    <s v="AMER GSI"/>
    <s v="Deloitte Consulting, LLP"/>
    <s v="Deloitte Consulting LLP-Hybrid-Service Credit Prepaid- 100% Discounted-009807"/>
    <s v="Erika Laughlin"/>
    <s v="Nolyn Croy"/>
    <m/>
    <n v="610555.20000000007"/>
    <n v="622000"/>
    <s v="Growth"/>
    <s v="Strikezone"/>
    <s v="Test Cloud"/>
    <s v="India"/>
    <s v="Delivery"/>
    <s v="Fixed Fee"/>
    <x v="1"/>
    <n v="3"/>
    <m/>
    <s v="Green"/>
    <s v="No"/>
    <s v="delivery shifted to Exxon Mobil PR-011039"/>
    <d v="2025-05-15T00:00:00"/>
    <d v="2026-05-14T00:00:00"/>
    <s v="Joseph Yoon"/>
  </r>
  <r>
    <n v="11"/>
    <s v="Intl - AMER"/>
    <s v="PR-010972"/>
    <s v="AMER HLS"/>
    <s v="Ascension Health Alliance"/>
    <s v="Ascension Health Alliance-Hybrid-Service Credit Prepaid-100%Disc-010972"/>
    <s v="Dannie Aschenbrener"/>
    <m/>
    <s v="Gagan Singh, _x000a_gagan.singh@ascension.org"/>
    <m/>
    <n v="550000"/>
    <s v="Growth"/>
    <s v="Strikezone"/>
    <s v="XP/GenAI/Comms Mining"/>
    <s v="India/US"/>
    <s v="Delivery"/>
    <s v="Service Credit"/>
    <x v="0"/>
    <m/>
    <m/>
    <s v="Green"/>
    <s v="No"/>
    <m/>
    <d v="2025-11-26T00:00:00"/>
    <d v="2026-11-25T00:00:00"/>
    <s v="Kristen Casterline"/>
  </r>
  <r>
    <n v="12"/>
    <s v="Intl - AMER"/>
    <s v="PR-009904"/>
    <s v="AMER HLS"/>
    <s v="FinThrive Revenue Systems, LLC"/>
    <s v="FinThrive Revenue Systems-Hybrid-Service Credit Prepaid-100% Discounte-PR-009904"/>
    <s v="Robert Lord"/>
    <s v="Lindsay Galvin"/>
    <s v="Michael Waluk_x000a_michael.waluk@finthrive.com"/>
    <n v="58333.45"/>
    <n v="500000"/>
    <s v="Growth"/>
    <s v="Strikezone"/>
    <s v="Agentic"/>
    <s v="India/US"/>
    <s v="Delivery"/>
    <s v="Service Credit"/>
    <x v="0"/>
    <m/>
    <m/>
    <s v="Green"/>
    <s v="No"/>
    <s v="PM Anthony Garcia communicated on 09/26 on customers decision to put project on HOLD _x000a_10/17 - PM Aditya confirmed restarting the project, Dev - Nikita and SA - Raghav resuming Agentic development"/>
    <d v="2025-01-31T00:00:00"/>
    <d v="2028-01-30T00:00:00"/>
    <s v="Aditya Kottapalli"/>
  </r>
  <r>
    <n v="13"/>
    <s v="Intl - AMER"/>
    <s v="PR-010485"/>
    <s v="AMER FINS"/>
    <s v="Voya Services Company"/>
    <s v="Voya Services Company-Time and Materials-POD 010485"/>
    <s v="Angela Li"/>
    <m/>
    <s v="Guy Conille_x000a_guy.conille@uipath.com"/>
    <n v="610000"/>
    <n v="457500"/>
    <s v="Growth"/>
    <s v="Strikezone"/>
    <s v="Agentic"/>
    <s v="India/US"/>
    <s v="Delivery"/>
    <s v="Service Credit"/>
    <x v="0"/>
    <n v="2"/>
    <n v="1"/>
    <s v="Green"/>
    <s v="No"/>
    <s v="Deveopment in Progress"/>
    <d v="2025-08-19T00:00:00"/>
    <d v="2027-08-18T00:00:00"/>
    <s v="Guy Conille"/>
  </r>
  <r>
    <n v="14"/>
    <s v="Intl - AMER"/>
    <s v="PR-011316"/>
    <s v="AMER FINS"/>
    <s v="Hub International"/>
    <s v="Hub International-Fixed Price-Postpaid-011316"/>
    <s v="John Pellettiere"/>
    <s v="Nolyn Croy"/>
    <s v="Seth McCallister_x000a_seth.mccallister@hubinternational.com"/>
    <m/>
    <n v="420000"/>
    <s v="Core"/>
    <s v="Non-Strikezone"/>
    <s v="Core"/>
    <s v="India"/>
    <s v="MS"/>
    <s v="Fixed Fee"/>
    <x v="0"/>
    <m/>
    <m/>
    <s v="Green"/>
    <s v="No"/>
    <s v="Managed Services delivered by WBZ"/>
    <d v="2026-02-09T00:00:00"/>
    <d v="2027-03-08T00:00:00"/>
    <s v="Sandip"/>
  </r>
  <r>
    <n v="15"/>
    <s v="Intl - AMER"/>
    <s v="PR-011298"/>
    <s v="AMER HLS"/>
    <s v="Access Telecare, LLC"/>
    <s v="Access Telecare LLC-Hybrid-Postpaid-011298"/>
    <s v="Colby LaCouture"/>
    <m/>
    <s v="Andy Garlington_x000a_Email bounced. Update the email address and try again.andy.garlington@accesstelecare.com"/>
    <m/>
    <n v="410400"/>
    <s v="Growth"/>
    <s v="Strikezone"/>
    <s v="Agentic"/>
    <s v="India/US"/>
    <s v="Delivery"/>
    <s v="Fixed Fee"/>
    <x v="2"/>
    <m/>
    <m/>
    <s v="Green"/>
    <s v="No"/>
    <s v="Agentic implementation in MAC yet to start and to be Staffed"/>
    <d v="2026-02-02T00:00:00"/>
    <d v="2028-02-01T00:00:00"/>
    <s v="Kristen Casterline"/>
  </r>
  <r>
    <n v="16"/>
    <s v="Test - AMER"/>
    <s v="PR-011039"/>
    <s v="AMER SUMMIT"/>
    <s v="ExxonMobil (Global)"/>
    <s v="ExxonMobil (Global)-Hybrid-Service Credit Prepaid-100%Disc-011039"/>
    <s v="Sam Ghosh"/>
    <s v="Lisa Goodman"/>
    <s v="Saysha Reyes Chica"/>
    <m/>
    <n v="400000"/>
    <s v="Growth"/>
    <s v="Strikezone"/>
    <s v="Test Cloud"/>
    <s v="India"/>
    <s v="Delivery"/>
    <s v="Service Credit"/>
    <x v="0"/>
    <n v="0.5"/>
    <n v="2"/>
    <s v="Green"/>
    <s v="No"/>
    <s v="Test Suite implementation"/>
    <d v="2025-12-02T00:00:00"/>
    <d v="2026-12-21T00:00:00"/>
    <s v="Hitesh Kumar"/>
  </r>
  <r>
    <n v="17"/>
    <s v="Intl - AMER"/>
    <s v="PR-010592"/>
    <s v="AMER FINS"/>
    <s v="Western Alliance Bank"/>
    <s v="Western Alliance Bank-Time and Materials-Prepaid-100%Disc-010592"/>
    <s v="Carl Zauner"/>
    <s v="Nolyn Croy"/>
    <m/>
    <n v="355500.56"/>
    <n v="359600"/>
    <s v="Growth"/>
    <s v="Strikezone"/>
    <s v="Agentic"/>
    <s v="India/US"/>
    <s v="Delivery"/>
    <s v="Service Credit"/>
    <x v="0"/>
    <m/>
    <n v="1"/>
    <s v="Green"/>
    <s v="No"/>
    <s v="Agenic Use case - 2 developers  requested from PS India likely to start in last week of Oct 2025, per PS US PM"/>
    <d v="2025-09-24T00:00:00"/>
    <d v="2027-09-23T00:00:00"/>
    <s v="Xiwen Shui"/>
  </r>
  <r>
    <n v="18"/>
    <s v="Intl - AMER"/>
    <s v="PR-010989"/>
    <s v="AMER SUMMIT"/>
    <s v="Intel Corporation"/>
    <s v="Intel Corporation-Time and Materials-Postpaid-010989 "/>
    <s v="Zach Venard"/>
    <m/>
    <s v="Shah, Siddharth_x000a_siddharth.shah@intel.com"/>
    <m/>
    <n v="300000"/>
    <s v="Growth"/>
    <s v="Non-Strikezone"/>
    <s v="XP/GenAI/Comms Mining"/>
    <s v="India"/>
    <s v="Staff Aug"/>
    <s v="T&amp;M"/>
    <x v="0"/>
    <m/>
    <m/>
    <s v="Green"/>
    <s v="No"/>
    <s v="Implementation of DU, ML and Core RPA use cases from PS India, being renewed YoY for the past 3 years"/>
    <d v="2025-12-11T00:00:00"/>
    <d v="2027-12-10T00:00:00"/>
    <s v="Kamal"/>
  </r>
  <r>
    <n v="19"/>
    <s v="Test - AMER"/>
    <s v="PR-010169"/>
    <s v="AMER FINS"/>
    <s v="Voya Services Company"/>
    <s v="Voya Services Company-Hybrid-Prepaid 100% Discounted-010169"/>
    <s v="Aaron Greenblatt"/>
    <s v="Lisa Goodman"/>
    <s v="Pratik Kothari"/>
    <n v="252398.965"/>
    <n v="299975"/>
    <s v="Growth"/>
    <s v="Strikezone"/>
    <s v="Training"/>
    <s v="India/US"/>
    <s v="Delivery"/>
    <s v="Fixed Fee"/>
    <x v="0"/>
    <n v="2"/>
    <n v="1"/>
    <s v="Green"/>
    <s v="No"/>
    <m/>
    <d v="2025-06-05T00:00:00"/>
    <d v="2027-06-13T00:00:00"/>
    <s v="Nisha Shweta"/>
  </r>
  <r>
    <n v="20"/>
    <s v="Intl - AMER"/>
    <s v="PR-009891"/>
    <s v="AMER HLS"/>
    <s v="The Promptcare Companies Inc"/>
    <s v="The Promptcare Companies-Fixed Price-Prepaid-009891"/>
    <s v="Jonathan Harrison"/>
    <s v="Spencer Miller"/>
    <s v="Phill Merrell_x000a_pmerrell@promptcare.net"/>
    <n v="231899.59800000003"/>
    <n v="278029"/>
    <s v="Growth"/>
    <s v="Strikezone"/>
    <s v="XP/GenAI/Comms Mining"/>
    <s v="India"/>
    <s v="Delivery"/>
    <s v="Fixed Fee"/>
    <x v="0"/>
    <m/>
    <m/>
    <s v="Green"/>
    <s v="No"/>
    <s v="All India Staffing - DU"/>
    <d v="2025-03-18T00:00:00"/>
    <d v="2027-03-18T00:00:00"/>
    <s v="Hitesh Kumar"/>
  </r>
  <r>
    <n v="21"/>
    <s v="Intl - AMER"/>
    <s v="PR-009890"/>
    <s v="AMER HLS"/>
    <s v="The Promptcare Companies Inc"/>
    <s v="The Promptcare Companies-Fixed Price-100% DISC-Prepaid-009890"/>
    <s v="Jonathan Harrison"/>
    <s v="Spencer Miller"/>
    <s v="Phill Merrell_x000a_pmerrell@promptcare.net"/>
    <n v="198977.72700000001"/>
    <n v="273810"/>
    <s v="Growth"/>
    <s v="Strikezone"/>
    <s v="XP/GenAI/Comms Mining"/>
    <s v="India"/>
    <s v="Delivery"/>
    <s v="Fixed Fee"/>
    <x v="0"/>
    <m/>
    <m/>
    <s v="Green"/>
    <s v="No"/>
    <s v="All India Staffing - DU"/>
    <d v="2025-03-18T00:00:00"/>
    <d v="2026-03-18T00:00:00"/>
    <s v="Hitesh Kumar"/>
  </r>
  <r>
    <n v="22"/>
    <s v="Intl - AMER"/>
    <s v="PR-010980"/>
    <s v="AMER HLS"/>
    <s v="CareSource"/>
    <s v="CareSource-Time and Materials-Prepaid-010980"/>
    <s v="Christopher Bingham"/>
    <m/>
    <s v="Pranay Jauhri_x000a_pranay.jauhri@caresource.com"/>
    <m/>
    <n v="225000"/>
    <s v="Growth"/>
    <s v="Strikezone"/>
    <s v="XP/GenAI/Comms Mining"/>
    <s v="India/US"/>
    <s v="Delivery"/>
    <s v="T&amp;M"/>
    <x v="0"/>
    <n v="3.5"/>
    <n v="0.5"/>
    <s v="Green"/>
    <s v="No"/>
    <s v="DU/IXP implementation  in progress"/>
    <d v="2025-12-04T00:00:00"/>
    <d v="2027-04-03T00:00:00"/>
    <s v="Aditya Kottapalli"/>
  </r>
  <r>
    <n v="23"/>
    <s v="Intl - AMER"/>
    <s v="PR-009664"/>
    <s v="AMER FINS"/>
    <s v="Alliant Credit Union"/>
    <s v="Alliant Credit Union-Time and Materials-POD-009664"/>
    <s v="John Pellettiere"/>
    <s v="Nolyn Croy"/>
    <m/>
    <n v="229726.80000000002"/>
    <n v="196432"/>
    <s v="Growth"/>
    <s v="Non-Strikezone"/>
    <s v="XP/GenAI/Comms Mining"/>
    <s v="India/US"/>
    <s v="Delivery"/>
    <s v="T&amp;M"/>
    <x v="0"/>
    <n v="0.5"/>
    <n v="2"/>
    <s v="Green"/>
    <s v="No"/>
    <s v="Implementation of Core RPA use cases - SA and 2 Devs from India, US PM and BA"/>
    <d v="2025-01-24T00:00:00"/>
    <d v="2027-01-23T00:00:00"/>
    <s v="Sreedhar Lakkavaram"/>
  </r>
  <r>
    <n v="24"/>
    <s v="Intl - AMER"/>
    <s v="PR-010614"/>
    <s v="AMER SUMMIT"/>
    <s v="Johnson Controls, Inc."/>
    <s v="Johnson Controls Inc.-Fixed Price-Postpaid-010614"/>
    <s v="Steven Lawrence"/>
    <s v="Spencer Miller"/>
    <s v="Navroop Kaur Bal_x000a_navroop.kaur.bal@jci.com"/>
    <n v="250755"/>
    <n v="185559"/>
    <s v="Growth"/>
    <s v="Strikezone"/>
    <s v="Agentic"/>
    <s v="India/US"/>
    <s v="Delivery"/>
    <s v="Service Credit"/>
    <x v="0"/>
    <m/>
    <m/>
    <s v="Green"/>
    <s v="No"/>
    <m/>
    <d v="2025-09-08T00:00:00"/>
    <d v="2026-09-30T00:00:00"/>
    <s v="Charlie Hirsch"/>
  </r>
  <r>
    <n v="25"/>
    <s v="Intl - AMER"/>
    <s v="PR-010835"/>
    <s v="AMER SUMMIT"/>
    <s v="BJ's Wholesale Club"/>
    <s v="BJ's Wholesale Club.-Hybrid-Service Credit Prepaid-100%Disc-010835"/>
    <s v="Dave Giannattasio"/>
    <m/>
    <s v="Monica Schwartz"/>
    <m/>
    <n v="175000"/>
    <s v="Growth"/>
    <s v="Strikezone"/>
    <s v="XP/GenAI/Comms Mining"/>
    <s v="India/US"/>
    <s v="Delivery"/>
    <s v="Service Credit"/>
    <x v="0"/>
    <n v="2.5"/>
    <n v="2"/>
    <s v="Green"/>
    <s v="No"/>
    <s v="Almost all growth Products being explored and implemented from Test Suite, DU, Gen AI, Agentic, Comms Mining , Context Grounding etc. SA BA Dev from PS India - PM frm PS US"/>
    <d v="2025-10-31T00:00:00"/>
    <d v="2028-10-30T00:00:00"/>
    <s v="Noa Olson"/>
  </r>
  <r>
    <n v="26"/>
    <s v="Intl - AMER"/>
    <s v="PR-010309"/>
    <s v="AMER FINS"/>
    <s v="Equifax Inc."/>
    <s v="Verdad Informatica de Cos-Fixed Price-POD-010309"/>
    <s v="Kristin Collins"/>
    <m/>
    <m/>
    <n v="140143.11000000002"/>
    <n v="166921"/>
    <s v="Growth"/>
    <s v="Strikezone"/>
    <s v="Agentic"/>
    <s v="India/US"/>
    <s v="Delivery"/>
    <s v="Service Credit"/>
    <x v="0"/>
    <n v="1"/>
    <n v="1"/>
    <s v="Green"/>
    <s v="No"/>
    <s v="Imolementation of Agentic Use case, SA and Developer satffed from PS India"/>
    <d v="2025-06-25T00:00:00"/>
    <d v="2026-07-25T00:00:00"/>
    <s v="Juan Garay"/>
  </r>
  <r>
    <n v="27"/>
    <s v="Intl - AMER"/>
    <s v="PR-011038"/>
    <s v="AMER HLS"/>
    <s v="CAMC Health System"/>
    <s v="CAMC Health System-Fixed Price-Postpaid-011038"/>
    <s v="Nawal Alami"/>
    <m/>
    <s v="Jeff Cox_x000a_jeff.cox@vandaliahealth.org_x000a_"/>
    <m/>
    <n v="165480"/>
    <s v="Growth"/>
    <s v="Strikezone"/>
    <s v="Agentic"/>
    <s v="India/US"/>
    <s v="Delivery"/>
    <s v="Fixed Fee"/>
    <x v="2"/>
    <m/>
    <m/>
    <s v="Green"/>
    <s v="No"/>
    <s v="Agentic implementation yet to start and to be Staffed"/>
    <d v="2025-12-22T00:00:00"/>
    <d v="2027-12-21T00:00:00"/>
    <s v="Kristen Casterline"/>
  </r>
  <r>
    <n v="28"/>
    <s v="Intl - AMER"/>
    <s v="PR-008662"/>
    <s v="AMER SUMMIT"/>
    <s v="Intuit"/>
    <s v="Intuit Inc.-Time and Materials-Prepaid-PR-008662"/>
    <s v="Tylor Basas"/>
    <m/>
    <s v="Maaly Mohamed_x000a_maaly_mohamed@intuit.com"/>
    <n v="81422"/>
    <n v="163900"/>
    <s v="Core"/>
    <s v="Non-Strikezone"/>
    <s v="Core"/>
    <s v="India"/>
    <s v="Staff Aug"/>
    <s v="T&amp;M"/>
    <x v="0"/>
    <n v="0"/>
    <n v="1"/>
    <s v="Green"/>
    <s v="No"/>
    <s v="Staff Aug Project being supported for the past 3 years, YoY renewal, Core RPA use cases"/>
    <d v="2024-03-18T00:00:00"/>
    <d v="2027-06-02T00:00:00"/>
    <s v="Sandip"/>
  </r>
  <r>
    <n v="29"/>
    <s v="Intl - AMER"/>
    <s v="PR-010111"/>
    <s v="AMER SUMMIT"/>
    <s v="PACCAR Inc."/>
    <s v="PACCAR Inc.-Time and Materials-Prepaid-100% Discounted-PR-010111"/>
    <s v="Ryan Cousins"/>
    <s v="Spencer Miller"/>
    <s v="Abhijit.Chaporka  Abhijit.Chaporkar@PACCAR.com"/>
    <n v="100400.64"/>
    <n v="163200"/>
    <s v="Core"/>
    <s v="Non-Strikezone"/>
    <s v="Core"/>
    <s v="India"/>
    <s v="MS"/>
    <s v="Fixed Fee"/>
    <x v="0"/>
    <n v="0.25"/>
    <n v="3.5"/>
    <s v="Green"/>
    <s v="No"/>
    <s v="Post go live Managed Services Support. The team collaborates closely with business stakeholders, the Technical Account Manager (TAM), and the Product Support team to ensure smooth production operations. Support is delivered through various models (16×5) aligned to US business hours."/>
    <d v="2025-05-14T00:00:00"/>
    <d v="2026-05-13T00:00:00"/>
    <s v="Sandip"/>
  </r>
  <r>
    <n v="30"/>
    <s v="Intl - AMER"/>
    <s v="PR-010503"/>
    <s v="AMER SUMMIT"/>
    <s v="Skanska USA"/>
    <s v="Skanska USA- Fixed Price-Prepaid- 100% DISC-010503"/>
    <s v="Aman Alagh"/>
    <m/>
    <m/>
    <n v="152800"/>
    <n v="152800"/>
    <s v="Core"/>
    <s v="Non-Strikezone"/>
    <s v="Core"/>
    <s v="India/US"/>
    <s v="Delivery"/>
    <s v="Fixed Fee"/>
    <x v="0"/>
    <m/>
    <n v="1.5"/>
    <s v="Green"/>
    <s v="No"/>
    <s v="Implementation of Core RPA Use case"/>
    <d v="2025-09-01T00:00:00"/>
    <d v="2026-10-21T00:00:00"/>
    <s v="Charlie Hirsch"/>
  </r>
  <r>
    <n v="31"/>
    <s v="Intl - AMER"/>
    <s v="PR-008575"/>
    <s v="AMER FINS"/>
    <s v="Massachusetts Mutual Life Insurance Company"/>
    <s v="Massachusetts Mutual Life-100%discounted-Service Credit Prepaid-008575"/>
    <s v="Matthew Dirubio"/>
    <m/>
    <s v="Arthur Riel_x000a_ariel11@massmutual.com"/>
    <n v="140220"/>
    <n v="150000"/>
    <s v="Growth"/>
    <s v="Non-Strikezone"/>
    <s v="XP/GenAI/Comms Mining"/>
    <s v="India/US"/>
    <s v="Staff Aug"/>
    <s v="Service Credit"/>
    <x v="0"/>
    <m/>
    <n v="0.5"/>
    <s v="Green"/>
    <s v="No"/>
    <s v="Technical support, feasibility assessment, POC's, our SA's will support and guide customers with Design and deployment initialy 1 SA with 50% was deployed, In Sep '25 added 1 fulltime SA"/>
    <d v="2023-10-31T00:00:00"/>
    <d v="2026-10-30T00:00:00"/>
    <s v="Thiyag"/>
  </r>
  <r>
    <n v="32"/>
    <s v="Intl - AMER"/>
    <s v="PR-010219"/>
    <s v="AMER Commercial"/>
    <s v="Avista Corporation"/>
    <s v="Avista Corporation-Fixed Price-Service Credit Prepaid-100% Discounted-PR-010219"/>
    <s v="Zane Bushnell"/>
    <m/>
    <s v="Jason Pegg_x000a_ason.pegg@avistacorp.com"/>
    <n v="129259"/>
    <n v="130000"/>
    <s v="Growth"/>
    <s v="Strikezone"/>
    <s v="Agentic"/>
    <s v="India/US"/>
    <s v="Delivery"/>
    <s v="Service Credit"/>
    <x v="0"/>
    <n v="1"/>
    <n v="1.5"/>
    <s v="Green"/>
    <s v="No"/>
    <s v="Implementation of core RPA use case - All India Staffing, customer projects potential use case on Agentic, BGV completed for SA and BA, onboarding in progress"/>
    <d v="2025-06-17T00:00:00"/>
    <d v="2027-06-16T00:00:00"/>
    <s v="Kamal"/>
  </r>
  <r>
    <n v="33"/>
    <s v="Intl - AMER"/>
    <s v="PR-010758"/>
    <s v="AMER FINS"/>
    <s v="Hub International"/>
    <s v="Hub International-Time and Materials-Postpaid-PR-010758"/>
    <s v="John Pellettiere"/>
    <s v="Nolyn Croy"/>
    <s v="Nguyen, Thach _x000a_thach.nguyen@hubinternational.com"/>
    <m/>
    <n v="128750"/>
    <s v="Growth"/>
    <s v="Strikezone"/>
    <s v="XP/GenAI/Comms Mining"/>
    <s v="India"/>
    <s v="Delivery"/>
    <s v="T&amp;M"/>
    <x v="0"/>
    <m/>
    <m/>
    <s v="Green"/>
    <s v="No"/>
    <s v="Implementation of DU, ML and Core RPA use cases from PS India, being renewed YoY for the past 3 years"/>
    <d v="2025-10-27T00:00:00"/>
    <d v="2027-10-26T00:00:00"/>
    <s v="Hitesh Kumar"/>
  </r>
  <r>
    <n v="34"/>
    <s v="Intl - AMER"/>
    <s v="PR-009958"/>
    <s v="AMER SUMMIT"/>
    <s v="Snap-On Credit LLC"/>
    <s v="Lydonia Te-Snap-On Credit-Time and Materials-POD-PR-009958"/>
    <s v="Elliott Davis"/>
    <s v="Spencer Miller"/>
    <s v="Kevin Scannell_x000a_kevin@lydonia.ai"/>
    <n v="101890.43000000001"/>
    <n v="124406"/>
    <s v="Core"/>
    <s v="Non-Strikezone"/>
    <s v="Core"/>
    <s v="India"/>
    <s v="Staff Aug"/>
    <s v="T&amp;M"/>
    <x v="0"/>
    <m/>
    <m/>
    <s v="Green"/>
    <s v="No"/>
    <s v="Implementation of DU and Core RPA use cases, SA and Dev , being renewed for last 2 years with PS India"/>
    <d v="2025-04-02T00:00:00"/>
    <d v="2027-04-01T00:00:00"/>
    <s v="Kamal"/>
  </r>
  <r>
    <n v="35"/>
    <s v="Intl - AMER"/>
    <s v="PR-010186"/>
    <s v="AMER SUMMIT"/>
    <s v="Group 1 Automotive"/>
    <s v="Group 1 Automotive-Time and Materials-Prepaid-010186"/>
    <s v="Lindsay Kincy"/>
    <m/>
    <s v="Al Omari_x000a_aomari@group1auto.com"/>
    <n v="127759.5"/>
    <n v="123750"/>
    <s v="Core"/>
    <s v="Non-Strikezone"/>
    <s v="Core"/>
    <s v="India"/>
    <s v="Staff Aug"/>
    <s v="T&amp;M"/>
    <x v="0"/>
    <m/>
    <n v="2"/>
    <s v="Green"/>
    <s v="No"/>
    <s v="Staff Aug Project being renewed YoY since 2023, core RPA use cases supported by PS India staff"/>
    <d v="2025-06-11T00:00:00"/>
    <d v="2027-06-10T00:00:00"/>
    <s v="Kamal"/>
  </r>
  <r>
    <n v="36"/>
    <s v="Intl - AMER"/>
    <s v="PR-010346"/>
    <s v="AMER FINS"/>
    <s v="Hub International"/>
    <s v="Hub International-Hybrid-POD-010346"/>
    <s v="John Pellettiere"/>
    <s v="Nolyn Croy"/>
    <s v="Nguyen, Thach _x000a_thach.nguyen@hubinternational.com"/>
    <n v="112383.102"/>
    <n v="121127"/>
    <s v="Growth"/>
    <s v="Strikezone"/>
    <s v="XP/GenAI/Comms Mining"/>
    <s v="India"/>
    <s v="Delivery"/>
    <s v="T&amp;M"/>
    <x v="0"/>
    <n v="6.5"/>
    <n v="2.5"/>
    <s v="Green"/>
    <s v="No"/>
    <m/>
    <d v="2025-07-22T00:00:00"/>
    <d v="2027-07-21T00:00:00"/>
    <s v="Hitesh Kumar"/>
  </r>
  <r>
    <n v="37"/>
    <s v="Intl - AMER"/>
    <s v="PR-010216"/>
    <s v="AMER SUMMIT"/>
    <s v="Leica Microsystems Inc."/>
    <s v="Leica Microsystems Inc.-Time and Materials-Prepaid-PR-010216"/>
    <m/>
    <m/>
    <m/>
    <n v="90594.240000000005"/>
    <n v="105600"/>
    <s v="Core"/>
    <s v="Non-Strikezone"/>
    <s v="Core"/>
    <s v="India"/>
    <s v="MS"/>
    <s v="T&amp;M"/>
    <x v="0"/>
    <m/>
    <m/>
    <s v="Green"/>
    <s v="No"/>
    <s v="Managed Service Project"/>
    <d v="2025-05-23T00:00:00"/>
    <d v="2027-05-22T00:00:00"/>
    <s v="Sandip"/>
  </r>
  <r>
    <n v="38"/>
    <s v="Intl - AMER"/>
    <s v="PR-010897"/>
    <s v="AMER SUMMIT"/>
    <s v="PACCAR Inc."/>
    <s v="PACCAR Inc.-Fixed Fee-Prepaid-010897"/>
    <s v="Ryan Cousins"/>
    <s v="Spencer Miller"/>
    <s v="Abhijit.Chaporka  Abhijit.Chaporkar@PACCAR.com"/>
    <m/>
    <n v="102000"/>
    <s v="Core"/>
    <s v="Non-Strikezone"/>
    <s v="Core"/>
    <s v="India"/>
    <s v="MS"/>
    <s v="Fixed Fee"/>
    <x v="0"/>
    <m/>
    <m/>
    <s v="Green"/>
    <s v="No"/>
    <s v="Post go live Managed Services Support"/>
    <d v="2025-11-07T00:00:00"/>
    <d v="2027-11-06T00:00:00"/>
    <s v="Sandip"/>
  </r>
  <r>
    <n v="39"/>
    <s v="Intl - AMER"/>
    <s v="PR-010716"/>
    <s v="AMER Commercial"/>
    <s v="Angelo Gordon US"/>
    <s v="Lydonia Te-Angelo Gordon-Time and Materials-POD-010716"/>
    <s v="_x000a_Zach Elkinson"/>
    <s v="Spencer Miller"/>
    <s v="Michael Mullaney_x000a_mmullaney@glanbia.ie"/>
    <m/>
    <n v="101575.65"/>
    <s v="Core"/>
    <s v="Non-Strikezone"/>
    <s v="Core"/>
    <s v="India"/>
    <s v="Staff Aug"/>
    <s v="T&amp;M"/>
    <x v="0"/>
    <m/>
    <m/>
    <s v="Green"/>
    <s v="No"/>
    <s v="Implemenattion of Core RPA use cases from PS India - All inidia Staffing, being renewed for last 3 tears with PS India"/>
    <d v="2025-10-16T00:00:00"/>
    <d v="2028-10-31T00:00:00"/>
    <s v="Kamal"/>
  </r>
  <r>
    <n v="40"/>
    <s v="Intl - AMER"/>
    <s v="PR-010548"/>
    <s v="AMER SUMMIT"/>
    <s v="Total Quality Logistics"/>
    <s v="Total Quality Logistics-Hybrid-Service Credit Prepaid-100%Disc-PR-010548"/>
    <s v="Brandon Sage"/>
    <s v="Nolyn Croy"/>
    <m/>
    <m/>
    <n v="100000"/>
    <s v="Growth"/>
    <s v="Strikezone"/>
    <s v="XP/GenAI/Comms Mining"/>
    <s v="India"/>
    <s v="Delivery"/>
    <s v="Service Credit"/>
    <x v="0"/>
    <n v="1"/>
    <n v="1.75"/>
    <s v="Green"/>
    <s v="No"/>
    <s v="Implementation of DU / IXP use cases"/>
    <d v="2024-10-16T00:00:00"/>
    <d v="2026-10-15T00:00:00"/>
    <s v="Kamal"/>
  </r>
  <r>
    <n v="41"/>
    <s v="Intl - AMER"/>
    <s v="PR-009156"/>
    <s v="AMER Commercial"/>
    <s v="America Fujikura Ltd"/>
    <s v="Lydonia Te-America Fujiku-Time and Materials-POD-009156"/>
    <s v="Behrad Shahnavaz"/>
    <s v="Spencer Miller"/>
    <s v="Michael Mullaney_x000a_mmullaney@glanbia.ie"/>
    <n v="14672.347250000001"/>
    <n v="93934.77"/>
    <s v="Growth"/>
    <s v="Non-Strikezone"/>
    <s v="XP/GenAI/Comms Mining"/>
    <s v="India"/>
    <s v="Staff Aug"/>
    <s v="T&amp;M"/>
    <x v="0"/>
    <n v="0"/>
    <n v="1"/>
    <s v="Green"/>
    <s v="No"/>
    <s v="Implementation of DU and Core RPA use cases, SA and Dev , being renewed for last 2 years with PS India"/>
    <d v="2024-08-30T00:00:00"/>
    <d v="2026-09-02T00:00:00"/>
    <s v="Kamal"/>
  </r>
  <r>
    <n v="42"/>
    <s v="Intl - AMER"/>
    <s v="PR-010537"/>
    <s v="AMER Public Sector"/>
    <s v="Columbus State University: GEORGIA BOARD OF REGENTS"/>
    <s v="Skanska USA- Fixed Price-Prepaid- 100% DISC-010503"/>
    <s v="Jack Persinger"/>
    <m/>
    <s v="Ted Laskaris_x000a_laskaris_theodore@columbusstate.edu"/>
    <n v="128180"/>
    <n v="91007"/>
    <s v="Growth"/>
    <s v="Strikezone"/>
    <s v="XP/GenAI/Comms Mining"/>
    <s v="India/US"/>
    <s v="Delivery"/>
    <s v="Fixed Fee"/>
    <x v="0"/>
    <m/>
    <n v="1.5"/>
    <s v="Green"/>
    <s v="No"/>
    <m/>
    <d v="2025-09-08T00:00:00"/>
    <d v="2026-09-07T00:00:00"/>
    <s v="Charlie Hirsch"/>
  </r>
  <r>
    <n v="43"/>
    <s v="Intl - AMER"/>
    <s v="PR-010528"/>
    <s v="AMER FINS"/>
    <s v="Endurance Services Limited"/>
    <s v="Endurance Services Limite-Fixed Price-POD-PR-010520"/>
    <s v="Graham Newby"/>
    <m/>
    <s v="Joseph Fox jfox@sompo-intl.com"/>
    <n v="86818"/>
    <n v="86818"/>
    <s v="Growth"/>
    <s v="Strikezone"/>
    <s v="XP/GenAI/Comms Mining"/>
    <s v="India/US"/>
    <s v="Delivery"/>
    <s v="Fixed Fee"/>
    <x v="0"/>
    <m/>
    <n v="1"/>
    <s v="Green"/>
    <s v="No"/>
    <s v="Implementation of DU usecase"/>
    <d v="2025-08-28T00:00:00"/>
    <d v="2027-08-27T00:00:00"/>
    <s v="Harsha Srikantan"/>
  </r>
  <r>
    <n v="44"/>
    <s v="Intl - AMER"/>
    <s v="PR-009360"/>
    <s v="AMER SUMMIT"/>
    <s v="Comcast (Cable Communications)"/>
    <s v="Comcast (Cable Communicat-Fixed Price-Prepaid 100% Discounted-009360"/>
    <s v="Jessica Madigan"/>
    <m/>
    <s v="Sandra Lau_x000a_sandra_lau@comcast.com"/>
    <n v="620418.24900000007"/>
    <n v="82540"/>
    <s v="Core"/>
    <s v="Strikezone"/>
    <s v="Core"/>
    <s v="India/US"/>
    <s v="Delivery"/>
    <s v="Fixed Fee"/>
    <x v="0"/>
    <n v="0.5"/>
    <n v="2"/>
    <s v="Green"/>
    <s v="No"/>
    <s v="Implementation of Core RPA use cases - BA&lt; SA and 2 Devs from India, US PM"/>
    <d v="2024-10-31T00:00:00"/>
    <d v="2026-10-30T00:00:00"/>
    <s v="Noa Olson"/>
  </r>
  <r>
    <n v="45"/>
    <s v="Intl - AMER"/>
    <s v="PR-009439"/>
    <s v="AMER SUMMIT"/>
    <s v="Veolia WTS Services USA"/>
    <s v="Veolia WTS USA Inc.-Fixed Price-POD-009439"/>
    <s v="Jim Stricker"/>
    <s v="Spencer Miller"/>
    <s v="Trevor Tom_x000a_trevor.tom@veolia.com"/>
    <n v="16588.8"/>
    <n v="81000"/>
    <s v="Core"/>
    <s v="Non-Strikezone"/>
    <s v="Core"/>
    <s v="India"/>
    <s v="MS"/>
    <s v="Fixed Fee"/>
    <x v="0"/>
    <n v="0.25"/>
    <n v="1"/>
    <s v="Green"/>
    <s v="No"/>
    <s v="The team is responsible for managing, monitoring, and supporting automations in production. This includes incident management, handling minor change requests, providing migration support for automations, and support infrastructure upgrades as needed. The team collaborates closely with business stakeholders, the Technical Account Manager (TAM), and the Product Support team to ensure smooth production operations. Support is delivered through various models (8×5) aligned to US business hours."/>
    <d v="2024-12-04T00:00:00"/>
    <d v="2026-12-03T00:00:00"/>
    <s v="Sandip"/>
  </r>
  <r>
    <n v="46"/>
    <s v="Intl - AMER"/>
    <s v="PR-010414"/>
    <s v="AMER SUMMIT"/>
    <s v="Intuit"/>
    <s v="Intuit Inc.-Time and Materials-Prepaid - PR-010414"/>
    <s v="Brittney Thurman"/>
    <m/>
    <s v="Jean Cote_x000a_jean-henri_cote@intuit.com"/>
    <n v="103840"/>
    <n v="78100"/>
    <s v="Core"/>
    <s v="Non-Strikezone"/>
    <s v="Core"/>
    <s v="India"/>
    <s v="Staff Aug"/>
    <s v="T&amp;M"/>
    <x v="0"/>
    <m/>
    <m/>
    <s v="Green"/>
    <s v="No"/>
    <s v="Staff Aug Project being supported for the past 3 years, YoY renewal, Core RPA use cases, Agentic being explored with the help of AE, TAM and Product teams"/>
    <d v="2025-07-31T00:00:00"/>
    <d v="2027-07-30T00:00:00"/>
    <s v="Sandip"/>
  </r>
  <r>
    <n v="47"/>
    <s v="Intl - AMER"/>
    <s v="PR-010307"/>
    <s v="AMER SUMMIT"/>
    <s v="Take-Two Interactive Software, Inc."/>
    <s v="Take-Two Interactive Soft-Time and Materials-Prepaid (PR-010307)"/>
    <s v="Aman Alagh"/>
    <m/>
    <s v="Parag Khairnar_x000a_parag.khairnar@take2games.com"/>
    <n v="84480"/>
    <n v="78100"/>
    <s v="Core"/>
    <s v="Non-Strikezone"/>
    <s v="Core"/>
    <s v="India"/>
    <s v="Staff Aug"/>
    <s v="T&amp;M"/>
    <x v="0"/>
    <n v="0"/>
    <n v="1"/>
    <s v="Green"/>
    <s v="No"/>
    <s v="Staff Aug Project - YoY renewal with PS India Staffing,Since 2022, Core RPA use cases"/>
    <d v="2025-07-01T00:00:00"/>
    <d v="2027-07-02T00:00:00"/>
    <s v="Thiyag"/>
  </r>
  <r>
    <n v="48"/>
    <s v="Intl - AMER"/>
    <s v="PR-009051"/>
    <s v="AMER SUMMIT"/>
    <s v="Take-Two Interactive Software, Inc."/>
    <s v="Take-Two Interactive Soft-Time and Materials-Prepaid (PR-010308)"/>
    <s v="Aman Alagh"/>
    <m/>
    <s v="Parag Khairnar_x000a_parag.khairnar@take2games.com"/>
    <n v="5720.0000000000055"/>
    <n v="78100"/>
    <s v="Core"/>
    <s v="Non-Strikezone"/>
    <s v="Core"/>
    <s v="India"/>
    <s v="Staff Aug"/>
    <s v="T&amp;M"/>
    <x v="0"/>
    <n v="0"/>
    <n v="1"/>
    <s v="Green"/>
    <s v="No"/>
    <s v="Staff Aug Project - YoY renewal with PS India Staffing,Since 2022, Core RPA use cases"/>
    <d v="2024-07-24T00:00:00"/>
    <d v="2026-07-23T00:00:00"/>
    <s v="Thiyag"/>
  </r>
  <r>
    <n v="49"/>
    <s v="Intl - AMER"/>
    <s v="PR-010393"/>
    <s v="AMER SUMMIT"/>
    <s v="Take-Two Interactive Software, Inc."/>
    <s v="Take-Two Interactive Soft-Time and Materials-Prepaid (PR-010393)"/>
    <s v="Aman Alagh"/>
    <m/>
    <s v="Parag Khairnar_x000a_parag.khairnar@take2games.com"/>
    <n v="99000"/>
    <n v="70290"/>
    <s v="Core"/>
    <s v="Non-Strikezone"/>
    <s v="Core"/>
    <s v="India"/>
    <s v="Staff Aug"/>
    <s v="T&amp;M"/>
    <x v="0"/>
    <n v="0"/>
    <n v="1"/>
    <s v="Green"/>
    <s v="No"/>
    <s v="Staff Aug Project - YoY renewal with PS India Staffing,Since 2022, Core RPA use cases"/>
    <d v="2025-07-22T00:00:00"/>
    <d v="2027-07-22T00:00:00"/>
    <s v="Thiyag"/>
  </r>
  <r>
    <n v="50"/>
    <s v="Intl - AMER"/>
    <s v="PR-010150"/>
    <s v="AMER Commercial"/>
    <s v="America Fujikura Ltd"/>
    <s v="Lydonia Te-America Fujiku-Time and Materials-POD-010150"/>
    <s v="_x000a_Zach Elkinson"/>
    <s v="Spencer Miller"/>
    <s v="Kevin Scannell_x000a_kevin@lydonia.ai"/>
    <n v="86120.16"/>
    <n v="75544"/>
    <s v="Growth"/>
    <s v="Non-Strikezone"/>
    <s v="XP/GenAI/Comms Mining"/>
    <s v="India"/>
    <s v="Staff Aug"/>
    <s v="T&amp;M"/>
    <x v="0"/>
    <m/>
    <m/>
    <s v="Green"/>
    <s v="No"/>
    <s v="Implementation of DU and Core RPA use cases, SA and Dev , being renewed for last 2 years with PS India"/>
    <d v="2025-04-22T00:00:00"/>
    <d v="2027-05-21T00:00:00"/>
    <s v="Kamal"/>
  </r>
  <r>
    <n v="51"/>
    <s v="Intl - AMER"/>
    <s v="PR-009950"/>
    <s v="AMER SUMMIT"/>
    <s v="Amazon - Global Freight Partner Program"/>
    <s v="Amazon - Global Freight P-Fixed Price-Prepaid-009950"/>
    <s v="Mohammed Danish Majeed"/>
    <m/>
    <m/>
    <n v="106684.59999999999"/>
    <n v="74994"/>
    <s v="Core"/>
    <s v="Strikezone"/>
    <s v="Core"/>
    <s v="India/US"/>
    <s v="Delivery"/>
    <s v="Fixed Fee"/>
    <x v="1"/>
    <m/>
    <m/>
    <s v="Green"/>
    <s v="No"/>
    <s v="Project on Hold due to challenges in enabling infra access - Complete PS Indi Staff"/>
    <d v="2025-04-01T00:00:00"/>
    <d v="2027-03-31T00:00:00"/>
    <s v="Hitesh Kumar"/>
  </r>
  <r>
    <n v="52"/>
    <s v="Intl - AMER"/>
    <s v="PR-010545"/>
    <s v="AMER HLS"/>
    <s v="Tenet Business Services Corporation"/>
    <s v="Tenet Business Services C-Fixed Price-Prepaid-010545"/>
    <s v="Clinton Brown"/>
    <s v="Spencer Miller"/>
    <s v="Plott, Todd todd.plott@tenethealth.net"/>
    <m/>
    <n v="63660"/>
    <s v="Core"/>
    <s v="Non-Strikezone"/>
    <s v="Core"/>
    <s v="India"/>
    <s v="MS"/>
    <s v="Fixed Fee"/>
    <x v="0"/>
    <m/>
    <m/>
    <s v="Green"/>
    <s v="No"/>
    <s v="Post go live Managed Services Support"/>
    <d v="2025-09-11T00:00:00"/>
    <d v="2027-09-10T00:00:00"/>
    <s v="Sandip"/>
  </r>
  <r>
    <n v="53"/>
    <s v="Intl - AMER"/>
    <s v="PR-010227"/>
    <s v="AMER SUMMIT"/>
    <s v="Snap-On Credit LLC"/>
    <s v="Lydonia Te-Snap-On Credit-Time and Materials-POD-PR-010227"/>
    <s v="Elliott Davis"/>
    <s v="Spencer Miller"/>
    <s v="Kevin Scannell_x000a_kevin@lydonia.ai"/>
    <n v="60945.5"/>
    <n v="54670"/>
    <s v="Core"/>
    <s v="Non-Strikezone"/>
    <s v="Core"/>
    <s v="India"/>
    <s v="Staff Aug"/>
    <s v="T&amp;M"/>
    <x v="0"/>
    <m/>
    <m/>
    <s v="Green"/>
    <s v="No"/>
    <s v="Implementation of DU and Core RPA use cases, SA and Dev , being renewed for last 2 years with PS India"/>
    <d v="2025-06-24T00:00:00"/>
    <d v="2027-06-23T00:00:00"/>
    <s v="Kamal"/>
  </r>
  <r>
    <n v="54"/>
    <s v="Intl - AMER"/>
    <s v="PR-010757"/>
    <s v="AMER HLS"/>
    <s v="Memorial Sloan Kettering Cancer Center"/>
    <s v="Memorial Sloan Kettering-Time and Materials-Prepaid-PR-010757"/>
    <m/>
    <m/>
    <m/>
    <m/>
    <n v="53400"/>
    <s v="Growth"/>
    <s v="Strikezone"/>
    <s v="XP/GenAI/Comms Mining"/>
    <s v="India/US"/>
    <s v="Delivery"/>
    <s v="T&amp;M"/>
    <x v="0"/>
    <m/>
    <n v="1"/>
    <s v="Green"/>
    <s v="No"/>
    <s v="Implementation of DU / IXP use cases - We're using Modern DU for document splitting and IXP for extracting patient demographics information.- PAS0002_DocumentClassificationAndSplitting"/>
    <d v="2025-10-27T00:00:00"/>
    <d v="2027-10-28T00:00:00"/>
    <s v="Kristen Casterline"/>
  </r>
  <r>
    <n v="55"/>
    <s v="Intl - AMER"/>
    <s v="PR-010590"/>
    <s v="AMER FINS"/>
    <s v="Bank of America (Global)"/>
    <s v="Bank of America (Global)-Time and Materials-Prepaid-010590"/>
    <s v="Andrew Warren"/>
    <m/>
    <s v="Nye Allen_x000a_nye.allen@bofa.com"/>
    <n v="52800"/>
    <n v="52800"/>
    <s v="Core"/>
    <s v="Non-Strikezone"/>
    <s v="Core"/>
    <s v="India"/>
    <s v="Staff Aug"/>
    <s v="T&amp;M"/>
    <x v="2"/>
    <m/>
    <m/>
    <s v="Green"/>
    <s v="No"/>
    <s v="New contract signed late Sep '25, 1 dev onboarded, Provisioning of access is in progress, execution likely to start in a weeks time, This accountis being renewed with PS India for last 3 years"/>
    <d v="2025-09-24T00:00:00"/>
    <d v="2026-09-23T00:00:00"/>
    <s v="Thiyag"/>
  </r>
  <r>
    <n v="56"/>
    <s v="Intl - AMER"/>
    <s v="PR-010644"/>
    <s v="AMER HLS"/>
    <s v="J&amp;J World HQ-NJ"/>
    <s v="J&amp;J World HQ-NJ-Time and Materials-Prepaid-010644"/>
    <s v="Kostas Kouiroukidis"/>
    <m/>
    <s v="Venkatesan Jayaraman_x000a_vjayara2@its.jnj.com"/>
    <n v="60040"/>
    <n v="42628"/>
    <s v="Core"/>
    <s v="Non-Strikezone"/>
    <s v="Core"/>
    <s v="India/US"/>
    <s v="Delivery"/>
    <s v="Service Credit"/>
    <x v="0"/>
    <m/>
    <m/>
    <s v="Green"/>
    <s v="No"/>
    <m/>
    <d v="2025-09-18T00:00:00"/>
    <d v="2027-09-17T00:00:00"/>
    <s v="Sreedhar Lakkavaram"/>
  </r>
  <r>
    <n v="57"/>
    <s v="Intl - AMER"/>
    <s v="PR-008300"/>
    <s v="AMER FINS"/>
    <s v="JP Morgan Chase (Global)"/>
    <s v="JP Morgan Chase(Global-Fixed Price-Service Credit Prepaid-100% Discounted-008300"/>
    <s v="Aaron Greenblatt"/>
    <m/>
    <s v="shefali.shah@jpmchase.com"/>
    <n v="123478.39999999998"/>
    <n v="35345"/>
    <s v="Growth"/>
    <s v="Strikezone"/>
    <s v="XP/GenAI/Comms Mining"/>
    <s v="India/US"/>
    <s v="Delivery"/>
    <s v="Service Credit"/>
    <x v="0"/>
    <n v="0.25"/>
    <n v="2"/>
    <s v="Green"/>
    <s v="No"/>
    <s v="PS India staffs engaged with JPMC Platforms team in fulfilling the automation requirements coming in from intrnal BU's, includes Core RPA, DU, Agentic, ON Preom  to cloud migration and Infra support, needs close coordination with TAM, Product and JPMMC Platforms "/>
    <d v="2023-11-28T00:00:00"/>
    <d v="2026-11-27T00:00:00"/>
    <s v="Kristen Casterline"/>
  </r>
  <r>
    <n v="58"/>
    <s v="Intl - AMER"/>
    <s v="PR-011265"/>
    <s v="INT South Asia India Professional Services Sales"/>
    <s v="Accenture India"/>
    <s v="Accenture India-Time and Materials-Prepaid-100%Disc-011265"/>
    <s v="Girish Kumar J"/>
    <m/>
    <m/>
    <m/>
    <n v="34698.199999999997"/>
    <s v="Growth"/>
    <s v="Strikezone"/>
    <s v="XP/GenAI/Comms Mining"/>
    <s v="India"/>
    <s v="Staff Aug"/>
    <s v="T&amp;M"/>
    <x v="0"/>
    <m/>
    <n v="1"/>
    <s v="Green"/>
    <s v="No"/>
    <m/>
    <d v="2026-01-27T00:00:00"/>
    <d v="2027-01-26T00:00:00"/>
    <s v="Thiyag"/>
  </r>
  <r>
    <n v="59"/>
    <s v="Intl - AMER"/>
    <s v="PR-010064"/>
    <s v="AMER Commercial"/>
    <s v="Edgewell Personal Care Brands, LLC"/>
    <s v="Edgewell Personal Care Br-Fixed Price-Service Credit Prepaid-100% disc_PR-010064"/>
    <s v="Timothy Hulbert"/>
    <m/>
    <s v="Brian Mazdra_x000a_brian.mazdra@edgewell.com"/>
    <n v="25000"/>
    <n v="25000"/>
    <s v="Core"/>
    <s v="Non-Strikezone"/>
    <s v="Core"/>
    <s v="India/US"/>
    <s v="Delivery"/>
    <s v="Service Credit"/>
    <x v="2"/>
    <m/>
    <m/>
    <s v="Green"/>
    <s v="No"/>
    <s v="identified their top 3 scripts from &quot;Winshuttle&quot;  migrate to UiPath low complex - Complete PS India Staffing required - expected satff Mid Oct '2025"/>
    <d v="2025-04-30T00:00:00"/>
    <d v="2026-04-29T00:00:00"/>
    <m/>
  </r>
  <r>
    <n v="60"/>
    <s v="Test - AMER"/>
    <s v="PR-010535"/>
    <s v="AMER FINS"/>
    <s v="Guardian Life Insurance Company of America Inc"/>
    <s v="Guardian Life Insurance C-Time and Materials-Prepaid-010535"/>
    <s v="Ryan Garnett"/>
    <s v="Lisa Goodman"/>
    <m/>
    <n v="21840"/>
    <n v="21840"/>
    <s v="Growth"/>
    <s v="Non-Strikezone"/>
    <s v="Test Cloud"/>
    <s v="India"/>
    <s v="Delivery"/>
    <s v="Service Credit"/>
    <x v="0"/>
    <n v="2"/>
    <m/>
    <s v="Green"/>
    <m/>
    <m/>
    <d v="2025-08-19T00:00:00"/>
    <d v="2027-08-18T00:00:00"/>
    <s v="Vinoth Krishnan"/>
  </r>
  <r>
    <n v="61"/>
    <s v="Intl - AMER"/>
    <s v="PR-009919"/>
    <s v="AMER HLS"/>
    <s v="Tenet Business Services Corporation"/>
    <s v="Tenet Business Services C-Time and Materials-Prepaid-PR-009919"/>
    <s v="Clinton Brown"/>
    <s v="Spencer Miller"/>
    <s v="Plott, Todd todd.plott@tenethealth.net"/>
    <n v="21700"/>
    <n v="21700"/>
    <s v="Core"/>
    <s v="Non-Strikezone"/>
    <s v="Core"/>
    <s v="India"/>
    <s v="MS"/>
    <s v="Fixed Fee"/>
    <x v="1"/>
    <n v="0.25"/>
    <n v="3.5"/>
    <s v="Green"/>
    <s v="No"/>
    <m/>
    <d v="2025-03-26T00:00:00"/>
    <d v="2027-03-25T00:00:00"/>
    <s v="Sandip"/>
  </r>
  <r>
    <n v="62"/>
    <s v="Intl - AMER"/>
    <s v="PR-010396"/>
    <s v="AMER SUMMIT"/>
    <s v="DENSO International America, Inc."/>
    <s v="DENSO International Ameri-Time and Materials-Prepaid-010396"/>
    <s v="Chris Leblanc"/>
    <m/>
    <s v="Jonathan Tylutki_x000a_jonathan.tylutki@na.denso.com"/>
    <n v="15000"/>
    <n v="15000"/>
    <s v="Core"/>
    <s v="Strikezone"/>
    <s v="Core"/>
    <s v="India"/>
    <s v="Staff Aug"/>
    <s v="T&amp;M"/>
    <x v="0"/>
    <m/>
    <m/>
    <s v="Green"/>
    <s v="No"/>
    <s v="SA Support - limited to overseing the project execution, to be implemented by Ashling Partner"/>
    <d v="2025-07-30T00:00:00"/>
    <d v="2027-07-29T00:00:00"/>
    <s v="Sandip"/>
  </r>
  <r>
    <n v="63"/>
    <s v="Intl - AMER"/>
    <s v="PR-010394"/>
    <s v="AMER SUMMIT"/>
    <s v="DENSO International America, Inc."/>
    <s v="DENSO International Ameri-Time and Materials-Prepaid-010394"/>
    <s v="Chris Leblanc"/>
    <m/>
    <s v="Jonathan Tylutki_x000a_jonathan.tylutki@na.denso.com"/>
    <n v="6000"/>
    <n v="6000"/>
    <s v="Core"/>
    <s v="Strikezone"/>
    <s v="Core"/>
    <s v="India"/>
    <s v="Staff Aug"/>
    <s v="T&amp;M"/>
    <x v="0"/>
    <m/>
    <m/>
    <s v="Green"/>
    <s v="No"/>
    <s v="SA Support - limited to overseing the project execution, to be implemented by Ashling Partner"/>
    <d v="2025-07-30T00:00:00"/>
    <d v="2027-07-29T00:00:00"/>
    <s v="Sandip"/>
  </r>
  <r>
    <n v="64"/>
    <s v="Intl - AMER"/>
    <s v="PR-011233"/>
    <s v="AMER HLS"/>
    <s v="IntegriChain Inc"/>
    <s v="IntegriChain Inc-Fixed Fee-Postpaid-011233"/>
    <s v="William Robinson"/>
    <s v="Lindsay Galvin"/>
    <m/>
    <m/>
    <n v="5000"/>
    <s v="Growth"/>
    <s v="Strikezone"/>
    <s v="Agentic"/>
    <s v="India"/>
    <s v="Delivery"/>
    <s v="Fixed Fee"/>
    <x v="0"/>
    <m/>
    <n v="1.5"/>
    <s v="Green"/>
    <s v="No"/>
    <s v="Pilot implementaion of Core RPA and Agentic Use case"/>
    <d v="2026-01-29T00:00:00"/>
    <d v="2028-01-28T00:00:00"/>
    <s v="Thiyag"/>
  </r>
  <r>
    <n v="65"/>
    <s v="Intl - AMER"/>
    <s v="PR-010347"/>
    <s v="AMER Commercial"/>
    <s v="Falvey Insurance Group"/>
    <s v="Lydonia Te-Falvey Insuran-Time and Materials-POD-010347"/>
    <s v="Zach Elkinson"/>
    <s v="Spencer Miller"/>
    <s v="Michael Mullaney_x000a_mmullaney@glanbia.ie"/>
    <n v="5085"/>
    <n v="3993.75"/>
    <s v="Core"/>
    <s v="Non-Strikezone"/>
    <s v="Core"/>
    <s v="India"/>
    <s v="Staff Aug"/>
    <s v="T&amp;M"/>
    <x v="1"/>
    <m/>
    <m/>
    <s v="Green"/>
    <s v="No"/>
    <s v="SA support from PS India for their core RPA use case design, development and deployment, initialy 76 hrs contracted now renewed for 96 additional hours"/>
    <d v="2025-07-22T00:00:00"/>
    <d v="2027-07-21T00:00:00"/>
    <s v="Kamal"/>
  </r>
  <r>
    <n v="66"/>
    <s v="Intl - AMER"/>
    <s v="PR-010925"/>
    <s v="Internal"/>
    <s v="UiPath Inc"/>
    <s v="PSSD-1137- Internal Cross Charge - Automations for Internal ProServe-010925"/>
    <m/>
    <m/>
    <m/>
    <m/>
    <n v="0"/>
    <s v="Growth"/>
    <s v="Strikezone"/>
    <s v="XP/GenAI/Comms Mining"/>
    <s v="India/US"/>
    <s v="Delivery"/>
    <s v="Fixed Fee"/>
    <x v="0"/>
    <n v="1"/>
    <m/>
    <s v="Green"/>
    <s v="No"/>
    <s v="PS is building internal automation onPO, MCF, invoice approvals to support subcons, vendors and partner passthrough"/>
    <d v="2025-11-25T00:00:00"/>
    <d v="2026-11-24T00:00:00"/>
    <s v="Bruno Costa"/>
  </r>
  <r>
    <m/>
    <m/>
    <m/>
    <m/>
    <m/>
    <m/>
    <m/>
    <m/>
    <m/>
    <m/>
    <m/>
    <m/>
    <m/>
    <m/>
    <m/>
    <m/>
    <m/>
    <x v="3"/>
    <m/>
    <m/>
    <m/>
    <m/>
    <m/>
    <m/>
    <m/>
    <m/>
  </r>
  <r>
    <m/>
    <m/>
    <m/>
    <m/>
    <m/>
    <m/>
    <m/>
    <m/>
    <m/>
    <m/>
    <m/>
    <m/>
    <m/>
    <m/>
    <m/>
    <m/>
    <m/>
    <x v="3"/>
    <m/>
    <m/>
    <m/>
    <m/>
    <m/>
    <m/>
    <m/>
    <m/>
  </r>
  <r>
    <m/>
    <m/>
    <m/>
    <m/>
    <m/>
    <m/>
    <m/>
    <m/>
    <m/>
    <m/>
    <m/>
    <m/>
    <m/>
    <m/>
    <m/>
    <m/>
    <m/>
    <x v="3"/>
    <m/>
    <m/>
    <m/>
    <m/>
    <m/>
    <m/>
    <m/>
    <m/>
  </r>
  <r>
    <m/>
    <m/>
    <m/>
    <m/>
    <m/>
    <m/>
    <m/>
    <m/>
    <m/>
    <m/>
    <m/>
    <m/>
    <m/>
    <m/>
    <m/>
    <m/>
    <m/>
    <x v="3"/>
    <m/>
    <m/>
    <m/>
    <m/>
    <m/>
    <m/>
    <m/>
    <m/>
  </r>
  <r>
    <m/>
    <m/>
    <m/>
    <m/>
    <m/>
    <m/>
    <m/>
    <m/>
    <m/>
    <m/>
    <m/>
    <m/>
    <m/>
    <m/>
    <m/>
    <m/>
    <m/>
    <x v="3"/>
    <m/>
    <m/>
    <m/>
    <m/>
    <m/>
    <m/>
    <m/>
    <m/>
  </r>
  <r>
    <m/>
    <m/>
    <m/>
    <m/>
    <m/>
    <m/>
    <m/>
    <m/>
    <m/>
    <m/>
    <m/>
    <m/>
    <m/>
    <m/>
    <m/>
    <m/>
    <m/>
    <x v="3"/>
    <m/>
    <m/>
    <m/>
    <m/>
    <m/>
    <m/>
    <m/>
    <m/>
  </r>
  <r>
    <m/>
    <m/>
    <m/>
    <m/>
    <m/>
    <m/>
    <m/>
    <m/>
    <m/>
    <m/>
    <m/>
    <m/>
    <m/>
    <m/>
    <m/>
    <m/>
    <m/>
    <x v="3"/>
    <m/>
    <m/>
    <m/>
    <m/>
    <m/>
    <m/>
    <m/>
    <m/>
  </r>
  <r>
    <m/>
    <m/>
    <m/>
    <m/>
    <m/>
    <m/>
    <m/>
    <m/>
    <m/>
    <m/>
    <m/>
    <m/>
    <m/>
    <m/>
    <m/>
    <m/>
    <m/>
    <x v="3"/>
    <m/>
    <m/>
    <m/>
    <m/>
    <m/>
    <m/>
    <m/>
    <m/>
  </r>
  <r>
    <m/>
    <m/>
    <m/>
    <m/>
    <m/>
    <m/>
    <m/>
    <m/>
    <m/>
    <m/>
    <m/>
    <m/>
    <m/>
    <m/>
    <m/>
    <m/>
    <m/>
    <x v="3"/>
    <m/>
    <m/>
    <m/>
    <m/>
    <m/>
    <m/>
    <m/>
    <m/>
  </r>
  <r>
    <m/>
    <m/>
    <m/>
    <m/>
    <m/>
    <m/>
    <m/>
    <m/>
    <m/>
    <m/>
    <m/>
    <m/>
    <m/>
    <m/>
    <m/>
    <m/>
    <m/>
    <x v="3"/>
    <m/>
    <m/>
    <m/>
    <m/>
    <m/>
    <m/>
    <m/>
    <m/>
  </r>
  <r>
    <m/>
    <m/>
    <m/>
    <m/>
    <m/>
    <m/>
    <m/>
    <m/>
    <m/>
    <m/>
    <m/>
    <m/>
    <m/>
    <m/>
    <m/>
    <m/>
    <m/>
    <x v="3"/>
    <m/>
    <m/>
    <m/>
    <m/>
    <m/>
    <m/>
    <m/>
    <m/>
  </r>
  <r>
    <m/>
    <m/>
    <m/>
    <m/>
    <m/>
    <n v="750"/>
    <m/>
    <m/>
    <m/>
    <m/>
    <m/>
    <m/>
    <m/>
    <m/>
    <m/>
    <m/>
    <m/>
    <x v="3"/>
    <m/>
    <m/>
    <m/>
    <m/>
    <m/>
    <m/>
    <m/>
    <m/>
  </r>
  <r>
    <m/>
    <m/>
    <m/>
    <m/>
    <m/>
    <m/>
    <m/>
    <m/>
    <m/>
    <m/>
    <m/>
    <m/>
    <m/>
    <m/>
    <m/>
    <m/>
    <m/>
    <x v="3"/>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s v="Intl - AMER"/>
    <s v="PR-005449"/>
    <x v="0"/>
    <s v="Liberty Mutual Insurance"/>
    <s v="Liberty Mutual Insurance-Hybrid-Service Credit Prepaid-100% Discounted-005449"/>
    <s v="Andrew Warren"/>
    <m/>
    <s v="george.kochiii@libertymutual.com"/>
    <n v="90230.000000000015"/>
    <n v="7000000"/>
    <s v="Growth"/>
    <x v="0"/>
    <s v="Apps, API"/>
    <s v="India/US"/>
    <s v="Staff Aug"/>
    <s v="T&amp;M"/>
    <s v="In Progress"/>
    <m/>
    <n v="1"/>
    <s v="Green"/>
    <s v="No"/>
  </r>
  <r>
    <s v="Test - AMER"/>
    <s v="PR-009073"/>
    <x v="1"/>
    <s v="Google Inc"/>
    <s v="Google Inc.-Fixed Price-Prepaid-100% Discounted-009073"/>
    <s v="Tylor Basas"/>
    <s v="Nolyn Croy"/>
    <m/>
    <n v="4552146.5"/>
    <n v="5402500"/>
    <s v="Growth"/>
    <x v="0"/>
    <s v="Test Cloud"/>
    <s v="India/US"/>
    <s v="Delivery"/>
    <s v="Fixed Fee"/>
    <s v="In Progress"/>
    <n v="3"/>
    <m/>
    <s v="Red"/>
    <s v="Yes"/>
  </r>
  <r>
    <s v="Intl - AMER"/>
    <s v="PR-0101280"/>
    <x v="2"/>
    <s v="CIGNA"/>
    <s v="CIGNA-Hybrid-Service Credit Prepaid-100% Discounted-PR-010280"/>
    <s v="Ryan Poole"/>
    <m/>
    <m/>
    <e v="#N/A"/>
    <n v="2500000"/>
    <s v="Growth"/>
    <x v="0"/>
    <s v="Agentic"/>
    <s v="India/US"/>
    <s v="Delivery"/>
    <s v="Service Credit"/>
    <s v="On HOLD"/>
    <m/>
    <m/>
    <s v="Green"/>
    <s v="No"/>
  </r>
  <r>
    <s v="Intl - AMER"/>
    <s v="PR-004732"/>
    <x v="2"/>
    <s v="HCA Information Technology &amp; Services, Inc."/>
    <s v="HCA – Information Technol-Hybrid-Service Credit Prepaid-004732"/>
    <s v="Susan Belovich"/>
    <m/>
    <s v="Daniel Alexander_x000a_daniel.alexander@hcahealthcare.com"/>
    <m/>
    <n v="2500000"/>
    <s v="Growth"/>
    <x v="0"/>
    <s v="XP/GenAI/Comms Mining"/>
    <s v="India/US"/>
    <s v="Delivery"/>
    <s v="Service Credit"/>
    <s v="In Progress"/>
    <m/>
    <m/>
    <s v="Green"/>
    <s v="No"/>
  </r>
  <r>
    <s v="Intl - AMER"/>
    <s v="PR-010148"/>
    <x v="1"/>
    <s v="Apple"/>
    <s v="Apple-Fixed Price-Service Credit Prepaid 100% Discounted-PR-010148"/>
    <s v="Ryan Edmundowicz"/>
    <m/>
    <s v="Bosco D'Silva_x000a_bdsilva@apple.com"/>
    <n v="1782730"/>
    <n v="2300000"/>
    <s v="Core"/>
    <x v="0"/>
    <s v="Core"/>
    <s v="India/US"/>
    <s v="Delivery"/>
    <s v="Service Credit"/>
    <s v="In Progress"/>
    <n v="2"/>
    <n v="5"/>
    <s v="Green"/>
    <s v="No"/>
  </r>
  <r>
    <s v="Test - AMER"/>
    <s v="PR-009742"/>
    <x v="0"/>
    <s v="Wells Fargo (Global)"/>
    <s v="Wells Fargo (Global)-Hybrid-Service Credit-100% Disc- Prepaid-009742"/>
    <m/>
    <s v="Nolyn Croy"/>
    <m/>
    <n v="589279.99999999988"/>
    <n v="1600000"/>
    <s v="Growth"/>
    <x v="1"/>
    <s v="Test Cloud"/>
    <s v="India"/>
    <s v="Staff Aug"/>
    <s v="T&amp;M"/>
    <s v="In Progress"/>
    <n v="12"/>
    <n v="14"/>
    <s v="Green"/>
    <s v="No"/>
  </r>
  <r>
    <s v="Intl - AMER"/>
    <s v="PR-008208"/>
    <x v="3"/>
    <s v="Deloitte Global Services LLP"/>
    <s v="Deloitte Global Services-Hybrid-Service Credit Prepaid-PR-008208"/>
    <s v="Erika Laughlin"/>
    <m/>
    <s v="_x000a_Ragu Gurumurthy_x000a_rgurumurthy@deloitte.com_x000a_"/>
    <n v="924189"/>
    <n v="1470000"/>
    <s v="Core"/>
    <x v="0"/>
    <s v="Core"/>
    <s v="India"/>
    <s v="Delivery"/>
    <s v="Service Credit"/>
    <s v="In Progress"/>
    <n v="2"/>
    <n v="4"/>
    <s v="Green"/>
    <s v="No"/>
  </r>
  <r>
    <s v="Intl - AMER"/>
    <s v="PR-008086"/>
    <x v="0"/>
    <s v="Citizens Bank, National Association"/>
    <s v="Citizens Bank National A-Fixed Price-100% disc.-Service Credit Prepaid-008086"/>
    <s v="Aaron Greenblatt"/>
    <m/>
    <s v="Matthew Lavoie_x000a_matthew.d.lavoie@citizensbank"/>
    <n v="182649.99999999994"/>
    <n v="1300000"/>
    <s v="Core"/>
    <x v="1"/>
    <s v="Core"/>
    <s v="India"/>
    <s v="Staff Aug"/>
    <s v="Fixed Fee"/>
    <s v="In Progress"/>
    <n v="1"/>
    <n v="6"/>
    <s v="Green"/>
    <s v="No"/>
  </r>
  <r>
    <s v="Intl - AMER"/>
    <s v="PR-009786"/>
    <x v="4"/>
    <s v="Icertis, Inc."/>
    <s v="Icertis Inc.-Hybrid-Service Credit Prepaid-PR-009786"/>
    <s v="Lawrence Dixon"/>
    <m/>
    <s v="Todd Smith_x000a_todd.smith@icertis.com"/>
    <n v="989300"/>
    <n v="1000000"/>
    <s v="Growth"/>
    <x v="1"/>
    <s v="XP/GenAI/Comms Mining"/>
    <s v="India"/>
    <s v="Delivery"/>
    <s v="Service Credit"/>
    <s v="In Progress"/>
    <n v="0.5"/>
    <n v="2"/>
    <s v="Green"/>
    <s v="No"/>
  </r>
  <r>
    <s v="Test - AMER"/>
    <s v="PR-009807"/>
    <x v="3"/>
    <s v="Deloitte Consulting, LLP"/>
    <s v="Deloitte Consulting LLP-Hybrid-Service Credit Prepaid- 100% Discounted-009807"/>
    <s v="Erika Laughlin"/>
    <s v="Nolyn Croy"/>
    <m/>
    <n v="610555.20000000007"/>
    <n v="622000"/>
    <s v="Growth"/>
    <x v="0"/>
    <s v="Test Cloud"/>
    <s v="India"/>
    <s v="Delivery"/>
    <s v="Fixed Fee"/>
    <s v="On HOLD"/>
    <n v="3"/>
    <m/>
    <s v="Green"/>
    <s v="No"/>
  </r>
  <r>
    <s v="Intl - AMER"/>
    <s v="PR-010972"/>
    <x v="2"/>
    <s v="Ascension Health Alliance"/>
    <s v="Ascension Health Alliance-Hybrid-Service Credit Prepaid-100%Disc-010972"/>
    <s v="Dannie Aschenbrener"/>
    <m/>
    <s v="Gagan Singh, _x000a_gagan.singh@ascension.org"/>
    <m/>
    <n v="550000"/>
    <s v="Growth"/>
    <x v="0"/>
    <s v="XP/GenAI/Comms Mining"/>
    <s v="India/US"/>
    <s v="Delivery"/>
    <s v="Service Credit"/>
    <s v="In Progress"/>
    <m/>
    <m/>
    <s v="Green"/>
    <s v="No"/>
  </r>
  <r>
    <s v="Intl - AMER"/>
    <s v="PR-009904"/>
    <x v="2"/>
    <s v="FinThrive Revenue Systems, LLC"/>
    <s v="FinThrive Revenue Systems-Hybrid-Service Credit Prepaid-100% Discounte-PR-009904"/>
    <s v="Robert Lord"/>
    <s v="Lindsay Galvin"/>
    <s v="Michael Waluk_x000a_michael.waluk@finthrive.com"/>
    <n v="58333.45"/>
    <n v="500000"/>
    <s v="Growth"/>
    <x v="0"/>
    <s v="Agentic"/>
    <s v="India/US"/>
    <s v="Delivery"/>
    <s v="Service Credit"/>
    <s v="In Progress"/>
    <m/>
    <m/>
    <s v="Green"/>
    <s v="No"/>
  </r>
  <r>
    <s v="Intl - AMER"/>
    <s v="PR-010485"/>
    <x v="0"/>
    <s v="Voya Services Company"/>
    <s v="Voya Services Company-Time and Materials-POD 010485"/>
    <s v="Angela Li"/>
    <m/>
    <s v="Guy Conille_x000a_guy.conille@uipath.com"/>
    <n v="610000"/>
    <n v="457500"/>
    <s v="Growth"/>
    <x v="0"/>
    <s v="Agentic"/>
    <s v="India/US"/>
    <s v="Delivery"/>
    <s v="Service Credit"/>
    <s v="In Progress"/>
    <n v="2"/>
    <n v="1"/>
    <s v="Green"/>
    <s v="No"/>
  </r>
  <r>
    <s v="Intl - AMER"/>
    <s v="PR-011316"/>
    <x v="0"/>
    <s v="Hub International"/>
    <s v="Hub International-Fixed Price-Postpaid-011316"/>
    <s v="John Pellettiere"/>
    <s v="Nolyn Croy"/>
    <s v="Seth McCallister_x000a_seth.mccallister@hubinternational.com"/>
    <m/>
    <n v="420000"/>
    <s v="Core"/>
    <x v="1"/>
    <s v="Core"/>
    <s v="India"/>
    <s v="MS"/>
    <s v="Fixed Fee"/>
    <s v="In Progress"/>
    <m/>
    <m/>
    <s v="Green"/>
    <s v="No"/>
  </r>
  <r>
    <s v="Intl - AMER"/>
    <s v="PR-011298"/>
    <x v="2"/>
    <s v="Access Telecare, LLC"/>
    <s v="Access Telecare LLC-Hybrid-Postpaid-011298"/>
    <s v="Colby LaCouture"/>
    <m/>
    <s v="Andy Garlington_x000a_Email bounced. Update the email address and try again.andy.garlington@accesstelecare.com"/>
    <m/>
    <n v="410400"/>
    <s v="Growth"/>
    <x v="0"/>
    <s v="Agentic"/>
    <s v="India/US"/>
    <s v="Delivery"/>
    <s v="Fixed Fee"/>
    <s v="Yet to Start"/>
    <m/>
    <m/>
    <s v="Green"/>
    <s v="No"/>
  </r>
  <r>
    <s v="Test - AMER"/>
    <s v="PR-011039"/>
    <x v="1"/>
    <s v="ExxonMobil (Global)"/>
    <s v="ExxonMobil (Global)-Hybrid-Service Credit Prepaid-100%Disc-011039"/>
    <s v="Sam Ghosh"/>
    <s v="Lisa Goodman"/>
    <s v="Saysha Reyes Chica"/>
    <m/>
    <n v="400000"/>
    <s v="Growth"/>
    <x v="0"/>
    <s v="Test Cloud"/>
    <s v="India"/>
    <s v="Delivery"/>
    <s v="Service Credit"/>
    <s v="In Progress"/>
    <n v="0.5"/>
    <n v="2"/>
    <s v="Green"/>
    <s v="No"/>
  </r>
  <r>
    <s v="Intl - AMER"/>
    <s v="PR-010592"/>
    <x v="0"/>
    <s v="Western Alliance Bank"/>
    <s v="Western Alliance Bank-Time and Materials-Prepaid-100%Disc-010592"/>
    <s v="Carl Zauner"/>
    <s v="Nolyn Croy"/>
    <m/>
    <n v="355500.56"/>
    <n v="359600"/>
    <s v="Growth"/>
    <x v="0"/>
    <s v="Agentic"/>
    <s v="India/US"/>
    <s v="Delivery"/>
    <s v="Service Credit"/>
    <s v="In Progress"/>
    <m/>
    <n v="1"/>
    <s v="Green"/>
    <s v="No"/>
  </r>
  <r>
    <s v="Intl - AMER"/>
    <s v="PR-010989"/>
    <x v="1"/>
    <s v="Intel Corporation"/>
    <s v="Intel Corporation-Time and Materials-Postpaid-010989 "/>
    <s v="Zach Venard"/>
    <m/>
    <s v="Shah, Siddharth_x000a_siddharth.shah@intel.com"/>
    <m/>
    <n v="300000"/>
    <s v="Growth"/>
    <x v="1"/>
    <s v="XP/GenAI/Comms Mining"/>
    <s v="India"/>
    <s v="Staff Aug"/>
    <s v="T&amp;M"/>
    <s v="In Progress"/>
    <m/>
    <m/>
    <s v="Green"/>
    <s v="No"/>
  </r>
  <r>
    <s v="Test - AMER"/>
    <s v="PR-010169"/>
    <x v="0"/>
    <s v="Voya Services Company"/>
    <s v="Voya Services Company-Hybrid-Prepaid 100% Discounted-010169"/>
    <s v="Aaron Greenblatt"/>
    <s v="Lisa Goodman"/>
    <s v="Pratik Kothari"/>
    <n v="252398.965"/>
    <n v="299975"/>
    <s v="Growth"/>
    <x v="0"/>
    <s v="Training"/>
    <s v="India/US"/>
    <s v="Delivery"/>
    <s v="Fixed Fee"/>
    <s v="In Progress"/>
    <n v="2"/>
    <n v="1"/>
    <s v="Green"/>
    <s v="No"/>
  </r>
  <r>
    <s v="Intl - AMER"/>
    <s v="PR-009891"/>
    <x v="2"/>
    <s v="The Promptcare Companies Inc"/>
    <s v="The Promptcare Companies-Fixed Price-Prepaid-009891"/>
    <s v="Jonathan Harrison"/>
    <s v="Spencer Miller"/>
    <s v="Phill Merrell_x000a_pmerrell@promptcare.net"/>
    <n v="231899.59800000003"/>
    <n v="278029"/>
    <s v="Growth"/>
    <x v="0"/>
    <s v="XP/GenAI/Comms Mining"/>
    <s v="India"/>
    <s v="Delivery"/>
    <s v="Fixed Fee"/>
    <s v="In Progress"/>
    <m/>
    <m/>
    <s v="Green"/>
    <s v="No"/>
  </r>
  <r>
    <s v="Intl - AMER"/>
    <s v="PR-009890"/>
    <x v="2"/>
    <s v="The Promptcare Companies Inc"/>
    <s v="The Promptcare Companies-Fixed Price-100% DISC-Prepaid-009890"/>
    <s v="Jonathan Harrison"/>
    <s v="Spencer Miller"/>
    <s v="Phill Merrell_x000a_pmerrell@promptcare.net"/>
    <n v="198977.72700000001"/>
    <n v="273810"/>
    <s v="Growth"/>
    <x v="0"/>
    <s v="XP/GenAI/Comms Mining"/>
    <s v="India"/>
    <s v="Delivery"/>
    <s v="Fixed Fee"/>
    <s v="In Progress"/>
    <m/>
    <m/>
    <s v="Green"/>
    <s v="No"/>
  </r>
  <r>
    <s v="Intl - AMER"/>
    <s v="PR-010980"/>
    <x v="2"/>
    <s v="CareSource"/>
    <s v="CareSource-Time and Materials-Prepaid-010980"/>
    <s v="Christopher Bingham"/>
    <m/>
    <s v="Pranay Jauhri_x000a_pranay.jauhri@caresource.com"/>
    <m/>
    <n v="225000"/>
    <s v="Growth"/>
    <x v="0"/>
    <s v="XP/GenAI/Comms Mining"/>
    <s v="India/US"/>
    <s v="Delivery"/>
    <s v="T&amp;M"/>
    <s v="In Progress"/>
    <n v="3.5"/>
    <n v="0.5"/>
    <s v="Green"/>
    <s v="No"/>
  </r>
  <r>
    <s v="Intl - AMER"/>
    <s v="PR-009664"/>
    <x v="0"/>
    <s v="Alliant Credit Union"/>
    <s v="Alliant Credit Union-Time and Materials-POD-009664"/>
    <s v="John Pellettiere"/>
    <s v="Nolyn Croy"/>
    <m/>
    <n v="229726.80000000002"/>
    <n v="196432"/>
    <s v="Growth"/>
    <x v="1"/>
    <s v="XP/GenAI/Comms Mining"/>
    <s v="India/US"/>
    <s v="Delivery"/>
    <s v="T&amp;M"/>
    <s v="In Progress"/>
    <n v="0.5"/>
    <n v="2"/>
    <s v="Green"/>
    <s v="No"/>
  </r>
  <r>
    <s v="Intl - AMER"/>
    <s v="PR-010614"/>
    <x v="1"/>
    <s v="Johnson Controls, Inc."/>
    <s v="Johnson Controls Inc.-Fixed Price-Postpaid-010614"/>
    <s v="Steven Lawrence"/>
    <s v="Spencer Miller"/>
    <s v="Navroop Kaur Bal_x000a_navroop.kaur.bal@jci.com"/>
    <n v="250755"/>
    <n v="185559"/>
    <s v="Growth"/>
    <x v="0"/>
    <s v="Agentic"/>
    <s v="India/US"/>
    <s v="Delivery"/>
    <s v="Service Credit"/>
    <s v="In Progress"/>
    <m/>
    <m/>
    <s v="Green"/>
    <s v="No"/>
  </r>
  <r>
    <s v="Intl - AMER"/>
    <s v="PR-010835"/>
    <x v="1"/>
    <s v="BJ's Wholesale Club"/>
    <s v="BJ's Wholesale Club.-Hybrid-Service Credit Prepaid-100%Disc-010835"/>
    <s v="Dave Giannattasio"/>
    <m/>
    <s v="Monica Schwartz"/>
    <m/>
    <n v="175000"/>
    <s v="Growth"/>
    <x v="0"/>
    <s v="XP/GenAI/Comms Mining"/>
    <s v="India/US"/>
    <s v="Delivery"/>
    <s v="Service Credit"/>
    <s v="In Progress"/>
    <n v="2.5"/>
    <n v="2"/>
    <s v="Green"/>
    <s v="No"/>
  </r>
  <r>
    <s v="Intl - AMER"/>
    <s v="PR-010309"/>
    <x v="0"/>
    <s v="Equifax Inc."/>
    <s v="Verdad Informatica de Cos-Fixed Price-POD-010309"/>
    <s v="Kristin Collins"/>
    <m/>
    <m/>
    <n v="140143.11000000002"/>
    <n v="166921"/>
    <s v="Growth"/>
    <x v="0"/>
    <s v="Agentic"/>
    <s v="India/US"/>
    <s v="Delivery"/>
    <s v="Service Credit"/>
    <s v="In Progress"/>
    <n v="1"/>
    <n v="1"/>
    <s v="Green"/>
    <s v="No"/>
  </r>
  <r>
    <s v="Intl - AMER"/>
    <s v="PR-011038"/>
    <x v="2"/>
    <s v="CAMC Health System"/>
    <s v="CAMC Health System-Fixed Price-Postpaid-011038"/>
    <s v="Nawal Alami"/>
    <m/>
    <s v="Jeff Cox_x000a_jeff.cox@vandaliahealth.org_x000a_"/>
    <m/>
    <n v="165480"/>
    <s v="Growth"/>
    <x v="0"/>
    <s v="Agentic"/>
    <s v="India/US"/>
    <s v="Delivery"/>
    <s v="Fixed Fee"/>
    <s v="Yet to Start"/>
    <m/>
    <m/>
    <s v="Green"/>
    <s v="No"/>
  </r>
  <r>
    <s v="Intl - AMER"/>
    <s v="PR-008662"/>
    <x v="1"/>
    <s v="Intuit"/>
    <s v="Intuit Inc.-Time and Materials-Prepaid-PR-008662"/>
    <s v="Tylor Basas"/>
    <m/>
    <s v="Maaly Mohamed_x000a_maaly_mohamed@intuit.com"/>
    <n v="81422"/>
    <n v="163900"/>
    <s v="Core"/>
    <x v="1"/>
    <s v="Core"/>
    <s v="India"/>
    <s v="Staff Aug"/>
    <s v="T&amp;M"/>
    <s v="In Progress"/>
    <n v="0"/>
    <n v="1"/>
    <s v="Green"/>
    <s v="No"/>
  </r>
  <r>
    <s v="Intl - AMER"/>
    <s v="PR-010111"/>
    <x v="1"/>
    <s v="PACCAR Inc."/>
    <s v="PACCAR Inc.-Time and Materials-Prepaid-100% Discounted-PR-010111"/>
    <s v="Ryan Cousins"/>
    <s v="Spencer Miller"/>
    <s v="Abhijit.Chaporka  Abhijit.Chaporkar@PACCAR.com"/>
    <n v="100400.64"/>
    <n v="163200"/>
    <s v="Core"/>
    <x v="1"/>
    <s v="Core"/>
    <s v="India"/>
    <s v="MS"/>
    <s v="Fixed Fee"/>
    <s v="In Progress"/>
    <n v="0.25"/>
    <n v="3.5"/>
    <s v="Green"/>
    <s v="No"/>
  </r>
  <r>
    <s v="Intl - AMER"/>
    <s v="PR-010503"/>
    <x v="1"/>
    <s v="Skanska USA"/>
    <s v="Skanska USA- Fixed Price-Prepaid- 100% DISC-010503"/>
    <s v="Aman Alagh"/>
    <m/>
    <m/>
    <n v="152800"/>
    <n v="152800"/>
    <s v="Core"/>
    <x v="1"/>
    <s v="Core"/>
    <s v="India/US"/>
    <s v="Delivery"/>
    <s v="Fixed Fee"/>
    <s v="In Progress"/>
    <m/>
    <n v="1.5"/>
    <s v="Green"/>
    <s v="No"/>
  </r>
  <r>
    <s v="Intl - AMER"/>
    <s v="PR-008575"/>
    <x v="0"/>
    <s v="Massachusetts Mutual Life Insurance Company"/>
    <s v="Massachusetts Mutual Life-100%discounted-Service Credit Prepaid-008575"/>
    <s v="Matthew Dirubio"/>
    <m/>
    <s v="Arthur Riel_x000a_ariel11@massmutual.com"/>
    <n v="140220"/>
    <n v="150000"/>
    <s v="Growth"/>
    <x v="1"/>
    <s v="XP/GenAI/Comms Mining"/>
    <s v="India/US"/>
    <s v="Staff Aug"/>
    <s v="Service Credit"/>
    <s v="In Progress"/>
    <m/>
    <n v="0.5"/>
    <s v="Green"/>
    <s v="No"/>
  </r>
  <r>
    <s v="Intl - AMER"/>
    <s v="PR-010219"/>
    <x v="4"/>
    <s v="Avista Corporation"/>
    <s v="Avista Corporation-Fixed Price-Service Credit Prepaid-100% Discounted-PR-010219"/>
    <s v="Zane Bushnell"/>
    <m/>
    <s v="Jason Pegg_x000a_ason.pegg@avistacorp.com"/>
    <n v="129259"/>
    <n v="130000"/>
    <s v="Growth"/>
    <x v="0"/>
    <s v="Agentic"/>
    <s v="India"/>
    <s v="Delivery"/>
    <s v="Service Credit"/>
    <s v="In Progress"/>
    <n v="1"/>
    <n v="1.5"/>
    <s v="Green"/>
    <s v="No"/>
  </r>
  <r>
    <s v="Intl - AMER"/>
    <s v="PR-010758"/>
    <x v="0"/>
    <s v="Hub International"/>
    <s v="Hub International-Time and Materials-Postpaid-PR-010758"/>
    <s v="John Pellettiere"/>
    <s v="Nolyn Croy"/>
    <s v="Nguyen, Thach _x000a_thach.nguyen@hubinternational.com"/>
    <m/>
    <n v="128750"/>
    <s v="Growth"/>
    <x v="0"/>
    <s v="XP/GenAI/Comms Mining"/>
    <s v="India"/>
    <s v="Delivery"/>
    <s v="T&amp;M"/>
    <s v="In Progress"/>
    <m/>
    <m/>
    <s v="Green"/>
    <s v="No"/>
  </r>
  <r>
    <s v="Intl - AMER"/>
    <s v="PR-009958"/>
    <x v="1"/>
    <s v="Snap-On Credit LLC"/>
    <s v="Lydonia Te-Snap-On Credit-Time and Materials-POD-PR-009958"/>
    <s v="Elliott Davis"/>
    <s v="Spencer Miller"/>
    <s v="Kevin Scannell_x000a_kevin@lydonia.ai"/>
    <n v="101890.43000000001"/>
    <n v="124406"/>
    <s v="Core"/>
    <x v="1"/>
    <s v="Core"/>
    <s v="India"/>
    <s v="Staff Aug"/>
    <s v="T&amp;M"/>
    <s v="In Progress"/>
    <m/>
    <m/>
    <s v="Green"/>
    <s v="No"/>
  </r>
  <r>
    <s v="Intl - AMER"/>
    <s v="PR-010186"/>
    <x v="1"/>
    <s v="Group 1 Automotive"/>
    <s v="Group 1 Automotive-Time and Materials-Prepaid-010186"/>
    <s v="Lindsay Kincy"/>
    <m/>
    <s v="Al Omari_x000a_aomari@group1auto.com"/>
    <n v="127759.5"/>
    <n v="123750"/>
    <s v="Core"/>
    <x v="1"/>
    <s v="Core"/>
    <s v="India"/>
    <s v="Staff Aug"/>
    <s v="T&amp;M"/>
    <s v="In Progress"/>
    <m/>
    <n v="2"/>
    <s v="Green"/>
    <s v="No"/>
  </r>
  <r>
    <s v="Intl - AMER"/>
    <s v="PR-010346"/>
    <x v="0"/>
    <s v="Hub International"/>
    <s v="Hub International-Hybrid-POD-010346"/>
    <s v="John Pellettiere"/>
    <s v="Nolyn Croy"/>
    <s v="Nguyen, Thach _x000a_thach.nguyen@hubinternational.com"/>
    <n v="112383.102"/>
    <n v="121127"/>
    <s v="Growth"/>
    <x v="0"/>
    <s v="XP/GenAI/Comms Mining"/>
    <s v="India"/>
    <s v="Delivery"/>
    <s v="T&amp;M"/>
    <s v="In Progress"/>
    <n v="6.5"/>
    <n v="2.5"/>
    <s v="Green"/>
    <s v="No"/>
  </r>
  <r>
    <s v="Intl - AMER"/>
    <s v="PR-010216"/>
    <x v="1"/>
    <s v="Leica Microsystems Inc."/>
    <s v="Leica Microsystems Inc.-Time and Materials-Prepaid-PR-010216"/>
    <m/>
    <m/>
    <m/>
    <n v="90594.240000000005"/>
    <n v="105600"/>
    <s v="Core"/>
    <x v="1"/>
    <s v="Core"/>
    <s v="India"/>
    <s v="MS"/>
    <s v="T&amp;M"/>
    <s v="In Progress"/>
    <m/>
    <m/>
    <s v="Green"/>
    <s v="No"/>
  </r>
  <r>
    <s v="Intl - AMER"/>
    <s v="PR-010897"/>
    <x v="1"/>
    <s v="PACCAR Inc."/>
    <s v="PACCAR Inc.-Fixed Fee-Prepaid-010897"/>
    <s v="Ryan Cousins"/>
    <s v="Spencer Miller"/>
    <s v="Abhijit.Chaporka  Abhijit.Chaporkar@PACCAR.com"/>
    <m/>
    <n v="102000"/>
    <s v="Core"/>
    <x v="1"/>
    <s v="Core"/>
    <s v="India"/>
    <s v="MS"/>
    <s v="Fixed Fee"/>
    <s v="In Progress"/>
    <m/>
    <m/>
    <s v="Green"/>
    <s v="No"/>
  </r>
  <r>
    <s v="Intl - AMER"/>
    <s v="PR-010716"/>
    <x v="4"/>
    <s v="Angelo Gordon US"/>
    <s v="Lydonia Te-Angelo Gordon-Time and Materials-POD-010716"/>
    <s v="_x000a_Zach Elkinson"/>
    <s v="Spencer Miller"/>
    <s v="Michael Mullaney_x000a_mmullaney@glanbia.ie"/>
    <m/>
    <n v="101575.65"/>
    <s v="Core"/>
    <x v="1"/>
    <s v="Core"/>
    <s v="India"/>
    <s v="Staff Aug"/>
    <s v="T&amp;M"/>
    <s v="In Progress"/>
    <m/>
    <m/>
    <s v="Green"/>
    <s v="No"/>
  </r>
  <r>
    <s v="Intl - AMER"/>
    <s v="PR-010548"/>
    <x v="1"/>
    <s v="Total Quality Logistics"/>
    <s v="Total Quality Logistics-Hybrid-Service Credit Prepaid-100%Disc-PR-010548"/>
    <s v="Brandon Sage"/>
    <s v="Nolyn Croy"/>
    <m/>
    <m/>
    <n v="100000"/>
    <s v="Growth"/>
    <x v="0"/>
    <s v="XP/GenAI/Comms Mining"/>
    <s v="India"/>
    <s v="Delivery"/>
    <s v="Service Credit"/>
    <s v="In Progress"/>
    <n v="1"/>
    <n v="1.75"/>
    <s v="Green"/>
    <s v="No"/>
  </r>
  <r>
    <s v="Intl - AMER"/>
    <s v="PR-009156"/>
    <x v="4"/>
    <s v="America Fujikura Ltd"/>
    <s v="Lydonia Te-America Fujiku-Time and Materials-POD-009156"/>
    <s v="Behrad Shahnavaz"/>
    <s v="Spencer Miller"/>
    <s v="Michael Mullaney_x000a_mmullaney@glanbia.ie"/>
    <n v="14672.347250000001"/>
    <n v="93934.77"/>
    <s v="Growth"/>
    <x v="1"/>
    <s v="XP/GenAI/Comms Mining"/>
    <s v="India"/>
    <s v="Staff Aug"/>
    <s v="T&amp;M"/>
    <s v="In Progress"/>
    <n v="0"/>
    <n v="1"/>
    <s v="Green"/>
    <s v="No"/>
  </r>
  <r>
    <s v="Intl - AMER"/>
    <s v="PR-010537"/>
    <x v="5"/>
    <s v="Columbus State University: GEORGIA BOARD OF REGENTS"/>
    <s v="Skanska USA- Fixed Price-Prepaid- 100% DISC-010503"/>
    <s v="Jack Persinger"/>
    <m/>
    <s v="Ted Laskaris_x000a_laskaris_theodore@columbusstate.edu"/>
    <n v="128180"/>
    <n v="91007"/>
    <s v="Growth"/>
    <x v="0"/>
    <s v="XP/GenAI/Comms Mining"/>
    <s v="India/US"/>
    <s v="Delivery"/>
    <s v="Fixed Fee"/>
    <s v="In Progress"/>
    <m/>
    <n v="1.5"/>
    <s v="Green"/>
    <s v="No"/>
  </r>
  <r>
    <s v="Intl - AMER"/>
    <s v="PR-010528"/>
    <x v="0"/>
    <s v="Endurance Services Limited"/>
    <s v="Endurance Services Limite-Fixed Price-POD-PR-010520"/>
    <s v="Graham Newby"/>
    <m/>
    <s v="Joseph Fox jfox@sompo-intl.com"/>
    <n v="86818"/>
    <n v="86818"/>
    <s v="Growth"/>
    <x v="0"/>
    <s v="XP/GenAI/Comms Mining"/>
    <s v="India/US"/>
    <s v="Delivery"/>
    <s v="Fixed Fee"/>
    <s v="In Progress"/>
    <m/>
    <n v="1"/>
    <s v="Green"/>
    <s v="No"/>
  </r>
  <r>
    <s v="Intl - AMER"/>
    <s v="PR-009360"/>
    <x v="1"/>
    <s v="Comcast (Cable Communications)"/>
    <s v="Comcast (Cable Communicat-Fixed Price-Prepaid 100% Discounted-009360"/>
    <s v="Jessica Madigan"/>
    <m/>
    <s v="Sandra Lau_x000a_sandra_lau@comcast.com"/>
    <n v="620418.24900000007"/>
    <n v="82540"/>
    <s v="Core"/>
    <x v="0"/>
    <s v="Core"/>
    <s v="India/US"/>
    <s v="Delivery"/>
    <s v="Fixed Fee"/>
    <s v="In Progress"/>
    <n v="0.5"/>
    <n v="2"/>
    <s v="Green"/>
    <s v="No"/>
  </r>
  <r>
    <s v="Intl - AMER"/>
    <s v="PR-009439"/>
    <x v="1"/>
    <s v="Veolia WTS Services USA"/>
    <s v="Veolia WTS USA Inc.-Fixed Price-POD-009439"/>
    <s v="Jim Stricker"/>
    <s v="Spencer Miller"/>
    <s v="Trevor Tom_x000a_trevor.tom@veolia.com"/>
    <n v="16588.8"/>
    <n v="81000"/>
    <s v="Core"/>
    <x v="1"/>
    <s v="Core"/>
    <s v="India"/>
    <s v="MS"/>
    <s v="Fixed Fee"/>
    <s v="In Progress"/>
    <n v="0.25"/>
    <n v="1"/>
    <s v="Green"/>
    <s v="No"/>
  </r>
  <r>
    <s v="Intl - AMER"/>
    <s v="PR-010414"/>
    <x v="1"/>
    <s v="Intuit"/>
    <s v="Intuit Inc.-Time and Materials-Prepaid - PR-010414"/>
    <s v="Brittney Thurman"/>
    <m/>
    <s v="Jean Cote_x000a_jean-henri_cote@intuit.com"/>
    <n v="103840"/>
    <n v="78100"/>
    <s v="Core"/>
    <x v="1"/>
    <s v="Core"/>
    <s v="India"/>
    <s v="Staff Aug"/>
    <s v="T&amp;M"/>
    <s v="In Progress"/>
    <m/>
    <m/>
    <s v="Green"/>
    <s v="No"/>
  </r>
  <r>
    <s v="Intl - AMER"/>
    <s v="PR-010307"/>
    <x v="1"/>
    <s v="Take-Two Interactive Software, Inc."/>
    <s v="Take-Two Interactive Soft-Time and Materials-Prepaid (PR-010307)"/>
    <s v="Aman Alagh"/>
    <m/>
    <s v="Parag Khairnar_x000a_parag.khairnar@take2games.com"/>
    <n v="84480"/>
    <n v="78100"/>
    <s v="Core"/>
    <x v="1"/>
    <s v="Core"/>
    <s v="India"/>
    <s v="Staff Aug"/>
    <s v="T&amp;M"/>
    <s v="In Progress"/>
    <n v="0"/>
    <n v="1"/>
    <s v="Green"/>
    <s v="No"/>
  </r>
  <r>
    <s v="Intl - AMER"/>
    <s v="PR-009051"/>
    <x v="1"/>
    <s v="Take-Two Interactive Software, Inc."/>
    <s v="Take-Two Interactive Soft-Time and Materials-Prepaid (PR-010308)"/>
    <s v="Aman Alagh"/>
    <m/>
    <s v="Parag Khairnar_x000a_parag.khairnar@take2games.com"/>
    <n v="5720.0000000000055"/>
    <n v="78100"/>
    <s v="Core"/>
    <x v="1"/>
    <s v="Core"/>
    <s v="India"/>
    <s v="Staff Aug"/>
    <s v="T&amp;M"/>
    <s v="In Progress"/>
    <n v="0"/>
    <n v="1"/>
    <s v="Green"/>
    <s v="No"/>
  </r>
  <r>
    <s v="Intl - AMER"/>
    <s v="PR-010393"/>
    <x v="1"/>
    <s v="Take-Two Interactive Software, Inc."/>
    <s v="Take-Two Interactive Soft-Time and Materials-Prepaid (PR-010393)"/>
    <s v="Aman Alagh"/>
    <m/>
    <s v="Parag Khairnar_x000a_parag.khairnar@take2games.com"/>
    <n v="99000"/>
    <n v="70290"/>
    <s v="Core"/>
    <x v="1"/>
    <s v="Core"/>
    <s v="India"/>
    <s v="Staff Aug"/>
    <s v="T&amp;M"/>
    <s v="In Progress"/>
    <n v="0"/>
    <n v="1"/>
    <s v="Green"/>
    <s v="No"/>
  </r>
  <r>
    <s v="Intl - AMER"/>
    <s v="PR-010150"/>
    <x v="4"/>
    <s v="America Fujikura Ltd"/>
    <s v="Lydonia Te-America Fujiku-Time and Materials-POD-010150"/>
    <s v="_x000a_Zach Elkinson"/>
    <s v="Spencer Miller"/>
    <s v="Kevin Scannell_x000a_kevin@lydonia.ai"/>
    <n v="86120.16"/>
    <n v="75544"/>
    <s v="Growth"/>
    <x v="1"/>
    <s v="XP/GenAI/Comms Mining"/>
    <s v="India"/>
    <s v="Staff Aug"/>
    <s v="T&amp;M"/>
    <s v="In Progress"/>
    <m/>
    <m/>
    <s v="Green"/>
    <s v="No"/>
  </r>
  <r>
    <s v="Intl - AMER"/>
    <s v="PR-009950"/>
    <x v="1"/>
    <s v="Amazon - Global Freight Partner Program"/>
    <s v="Amazon - Global Freight P-Fixed Price-Prepaid-009950"/>
    <s v="Mohammed Danish Majeed"/>
    <m/>
    <m/>
    <n v="106684.59999999999"/>
    <n v="74994"/>
    <s v="Core"/>
    <x v="0"/>
    <s v="Core"/>
    <s v="India/US"/>
    <s v="Delivery"/>
    <s v="Fixed Fee"/>
    <s v="On HOLD"/>
    <m/>
    <m/>
    <s v="Green"/>
    <s v="No"/>
  </r>
  <r>
    <s v="Intl - AMER"/>
    <s v="PR-010545"/>
    <x v="2"/>
    <s v="Tenet Business Services Corporation"/>
    <s v="Tenet Business Services C-Fixed Price-Prepaid-010545"/>
    <s v="Clinton Brown"/>
    <s v="Spencer Miller"/>
    <s v="Plott, Todd todd.plott@tenethealth.net"/>
    <m/>
    <n v="63660"/>
    <s v="Core"/>
    <x v="1"/>
    <s v="Core"/>
    <s v="India"/>
    <s v="MS"/>
    <s v="Fixed Fee"/>
    <s v="In Progress"/>
    <m/>
    <m/>
    <s v="Green"/>
    <s v="No"/>
  </r>
  <r>
    <s v="Intl - AMER"/>
    <s v="PR-010227"/>
    <x v="1"/>
    <s v="Snap-On Credit LLC"/>
    <s v="Lydonia Te-Snap-On Credit-Time and Materials-POD-PR-010227"/>
    <s v="Elliott Davis"/>
    <s v="Spencer Miller"/>
    <s v="Kevin Scannell_x000a_kevin@lydonia.ai"/>
    <n v="60945.5"/>
    <n v="54670"/>
    <s v="Core"/>
    <x v="1"/>
    <s v="Core"/>
    <s v="India"/>
    <s v="Staff Aug"/>
    <s v="T&amp;M"/>
    <s v="In Progress"/>
    <m/>
    <m/>
    <s v="Green"/>
    <s v="No"/>
  </r>
  <r>
    <s v="Intl - AMER"/>
    <s v="PR-010757"/>
    <x v="2"/>
    <s v="Memorial Sloan Kettering Cancer Center"/>
    <s v="Memorial Sloan Kettering-Time and Materials-Prepaid-PR-010757"/>
    <m/>
    <m/>
    <m/>
    <m/>
    <n v="53400"/>
    <s v="Growth"/>
    <x v="0"/>
    <s v="XP/GenAI/Comms Mining"/>
    <s v="India/US"/>
    <s v="Delivery"/>
    <s v="T&amp;M"/>
    <s v="In Progress"/>
    <m/>
    <n v="1"/>
    <s v="Green"/>
    <s v="No"/>
  </r>
  <r>
    <s v="Intl - AMER"/>
    <s v="PR-010590"/>
    <x v="0"/>
    <s v="Bank of America (Global)"/>
    <s v="Bank of America (Global)-Time and Materials-Prepaid-010590"/>
    <s v="Andrew Warren"/>
    <m/>
    <s v="Nye Allen_x000a_nye.allen@bofa.com"/>
    <n v="52800"/>
    <n v="52800"/>
    <s v="Core"/>
    <x v="1"/>
    <s v="Core"/>
    <s v="India"/>
    <s v="Staff Aug"/>
    <s v="T&amp;M"/>
    <s v="Yet to Start"/>
    <m/>
    <m/>
    <s v="Green"/>
    <s v="No"/>
  </r>
  <r>
    <s v="Intl - AMER"/>
    <s v="PR-010644"/>
    <x v="2"/>
    <s v="J&amp;J World HQ-NJ"/>
    <s v="J&amp;J World HQ-NJ-Time and Materials-Prepaid-010644"/>
    <s v="Kostas Kouiroukidis"/>
    <m/>
    <s v="Venkatesan Jayaraman_x000a_vjayara2@its.jnj.com"/>
    <n v="60040"/>
    <n v="42628"/>
    <s v="Core"/>
    <x v="1"/>
    <s v="Core"/>
    <s v="India/US"/>
    <s v="Delivery"/>
    <s v="Service Credit"/>
    <s v="In Progress"/>
    <m/>
    <m/>
    <s v="Green"/>
    <s v="No"/>
  </r>
  <r>
    <s v="Intl - AMER"/>
    <s v="PR-008300"/>
    <x v="0"/>
    <s v="JP Morgan Chase (Global)"/>
    <s v="JP Morgan Chase(Global-Fixed Price-Service Credit Prepaid-100% Discounted-008300"/>
    <s v="Aaron Greenblatt"/>
    <m/>
    <s v="shefali.shah@jpmchase.com"/>
    <n v="123478.39999999998"/>
    <n v="35345"/>
    <s v="Growth"/>
    <x v="0"/>
    <s v="XP/GenAI/Comms Mining"/>
    <s v="India/US"/>
    <s v="Delivery"/>
    <s v="Service Credit"/>
    <s v="In Progress"/>
    <n v="0.25"/>
    <n v="2"/>
    <s v="Green"/>
    <s v="No"/>
  </r>
  <r>
    <s v="Intl - AMER"/>
    <s v="PR-011265"/>
    <x v="6"/>
    <s v="Accenture India"/>
    <s v="Accenture India-Time and Materials-Prepaid-100%Disc-011265"/>
    <s v="Girish Kumar J"/>
    <m/>
    <m/>
    <m/>
    <n v="34698.199999999997"/>
    <s v="Growth"/>
    <x v="0"/>
    <s v="XP/GenAI/Comms Mining"/>
    <s v="India"/>
    <s v="Staff Aug"/>
    <s v="T&amp;M"/>
    <s v="In Progress"/>
    <m/>
    <n v="1"/>
    <s v="Green"/>
    <s v="No"/>
  </r>
  <r>
    <s v="Intl - AMER"/>
    <s v="PR-010064"/>
    <x v="4"/>
    <s v="Edgewell Personal Care Brands, LLC"/>
    <s v="Edgewell Personal Care Br-Fixed Price-Service Credit Prepaid-100% disc_PR-010064"/>
    <s v="Timothy Hulbert"/>
    <m/>
    <s v="Brian Mazdra_x000a_brian.mazdra@edgewell.com"/>
    <n v="25000"/>
    <n v="25000"/>
    <s v="Core"/>
    <x v="1"/>
    <s v="Core"/>
    <s v="India"/>
    <s v="Delivery"/>
    <s v="Service Credit"/>
    <s v="Yet to Start"/>
    <m/>
    <m/>
    <s v="Green"/>
    <s v="No"/>
  </r>
  <r>
    <s v="Test - AMER"/>
    <s v="PR-010535"/>
    <x v="0"/>
    <s v="Guardian Life Insurance Company of America Inc"/>
    <s v="Guardian Life Insurance C-Time and Materials-Prepaid-010535"/>
    <s v="Ryan Garnett"/>
    <s v="Lisa Goodman"/>
    <m/>
    <n v="21840"/>
    <n v="21840"/>
    <s v="Growth"/>
    <x v="1"/>
    <s v="Test Cloud"/>
    <s v="India"/>
    <s v="Delivery"/>
    <s v="Service Credit"/>
    <s v="In Progress"/>
    <n v="2"/>
    <m/>
    <s v="Green"/>
    <m/>
  </r>
  <r>
    <s v="Intl - AMER"/>
    <s v="PR-009919"/>
    <x v="2"/>
    <s v="Tenet Business Services Corporation"/>
    <s v="Tenet Business Services C-Time and Materials-Prepaid-PR-009919"/>
    <s v="Clinton Brown"/>
    <s v="Spencer Miller"/>
    <s v="Plott, Todd todd.plott@tenethealth.net"/>
    <n v="21700"/>
    <n v="21700"/>
    <s v="Core"/>
    <x v="1"/>
    <s v="Core"/>
    <s v="India"/>
    <s v="MS"/>
    <s v="Fixed Fee"/>
    <s v="On HOLD"/>
    <n v="0.25"/>
    <n v="3.5"/>
    <s v="Green"/>
    <s v="No"/>
  </r>
  <r>
    <s v="Intl - AMER"/>
    <s v="PR-010396"/>
    <x v="1"/>
    <s v="DENSO International America, Inc."/>
    <s v="DENSO International Ameri-Time and Materials-Prepaid-010396"/>
    <s v="Chris Leblanc"/>
    <m/>
    <s v="Jonathan Tylutki_x000a_jonathan.tylutki@na.denso.com"/>
    <n v="15000"/>
    <n v="15000"/>
    <s v="Core"/>
    <x v="0"/>
    <s v="Core"/>
    <s v="India"/>
    <s v="Staff Aug"/>
    <s v="T&amp;M"/>
    <s v="In Progress"/>
    <m/>
    <m/>
    <s v="Green"/>
    <s v="No"/>
  </r>
  <r>
    <s v="Intl - AMER"/>
    <s v="PR-010394"/>
    <x v="1"/>
    <s v="DENSO International America, Inc."/>
    <s v="DENSO International Ameri-Time and Materials-Prepaid-010394"/>
    <s v="Chris Leblanc"/>
    <m/>
    <s v="Jonathan Tylutki_x000a_jonathan.tylutki@na.denso.com"/>
    <n v="6000"/>
    <n v="6000"/>
    <s v="Core"/>
    <x v="0"/>
    <s v="Core"/>
    <s v="India"/>
    <s v="Staff Aug"/>
    <s v="T&amp;M"/>
    <s v="In Progress"/>
    <m/>
    <m/>
    <s v="Green"/>
    <s v="No"/>
  </r>
  <r>
    <s v="Intl - AMER"/>
    <s v="PR-011233"/>
    <x v="2"/>
    <s v="IntegriChain Inc"/>
    <s v="IntegriChain Inc-Fixed Fee-Postpaid-011233"/>
    <s v="William Robinson"/>
    <s v="Lindsay Galvin"/>
    <m/>
    <m/>
    <n v="5000"/>
    <s v="Growth"/>
    <x v="0"/>
    <s v="Agentic"/>
    <s v="India"/>
    <s v="Delivery"/>
    <s v="Fixed Fee"/>
    <s v="In Progress"/>
    <m/>
    <n v="1.5"/>
    <s v="Green"/>
    <s v="No"/>
  </r>
  <r>
    <s v="Intl - AMER"/>
    <s v="PR-010347"/>
    <x v="4"/>
    <s v="Falvey Insurance Group"/>
    <s v="Lydonia Te-Falvey Insuran-Time and Materials-POD-010347"/>
    <s v="Zach Elkinson"/>
    <s v="Spencer Miller"/>
    <s v="Michael Mullaney_x000a_mmullaney@glanbia.ie"/>
    <n v="5085"/>
    <n v="3993.75"/>
    <s v="Core"/>
    <x v="1"/>
    <s v="Core"/>
    <s v="India"/>
    <s v="Staff Aug"/>
    <s v="T&amp;M"/>
    <s v="On HOLD"/>
    <m/>
    <m/>
    <s v="Green"/>
    <s v="No"/>
  </r>
  <r>
    <s v="Intl - AMER"/>
    <s v="PR-010925"/>
    <x v="6"/>
    <s v="UiPath Inc"/>
    <s v="PSSD-1137- Internal Cross Charge - Automations for Internal ProServe-010925"/>
    <m/>
    <m/>
    <m/>
    <m/>
    <n v="0"/>
    <s v="Growth"/>
    <x v="0"/>
    <s v="XP/GenAI/Comms Mining"/>
    <s v="India/US"/>
    <s v="Delivery"/>
    <s v="Fixed Fee"/>
    <s v="In Progress"/>
    <n v="1"/>
    <m/>
    <s v="Green"/>
    <s v="No"/>
  </r>
  <r>
    <m/>
    <m/>
    <x v="7"/>
    <m/>
    <m/>
    <m/>
    <m/>
    <m/>
    <m/>
    <m/>
    <m/>
    <x v="2"/>
    <m/>
    <m/>
    <m/>
    <m/>
    <m/>
    <m/>
    <m/>
    <m/>
    <m/>
  </r>
  <r>
    <m/>
    <m/>
    <x v="7"/>
    <m/>
    <m/>
    <m/>
    <m/>
    <m/>
    <m/>
    <m/>
    <m/>
    <x v="2"/>
    <m/>
    <m/>
    <m/>
    <m/>
    <m/>
    <m/>
    <m/>
    <m/>
    <m/>
  </r>
  <r>
    <m/>
    <m/>
    <x v="7"/>
    <m/>
    <m/>
    <m/>
    <m/>
    <m/>
    <m/>
    <m/>
    <m/>
    <x v="2"/>
    <m/>
    <m/>
    <m/>
    <m/>
    <m/>
    <m/>
    <m/>
    <m/>
    <m/>
  </r>
  <r>
    <m/>
    <m/>
    <x v="7"/>
    <m/>
    <m/>
    <m/>
    <m/>
    <m/>
    <m/>
    <m/>
    <m/>
    <x v="2"/>
    <m/>
    <m/>
    <m/>
    <m/>
    <m/>
    <m/>
    <m/>
    <m/>
    <m/>
  </r>
  <r>
    <m/>
    <m/>
    <x v="7"/>
    <m/>
    <m/>
    <m/>
    <m/>
    <m/>
    <m/>
    <m/>
    <m/>
    <x v="2"/>
    <m/>
    <m/>
    <m/>
    <m/>
    <m/>
    <m/>
    <m/>
    <m/>
    <m/>
  </r>
  <r>
    <m/>
    <m/>
    <x v="7"/>
    <m/>
    <m/>
    <m/>
    <m/>
    <m/>
    <m/>
    <m/>
    <m/>
    <x v="2"/>
    <m/>
    <m/>
    <m/>
    <m/>
    <m/>
    <m/>
    <m/>
    <m/>
    <m/>
  </r>
  <r>
    <m/>
    <m/>
    <x v="7"/>
    <m/>
    <m/>
    <m/>
    <m/>
    <m/>
    <m/>
    <m/>
    <m/>
    <x v="2"/>
    <m/>
    <m/>
    <m/>
    <m/>
    <m/>
    <m/>
    <m/>
    <m/>
    <m/>
  </r>
  <r>
    <m/>
    <m/>
    <x v="7"/>
    <m/>
    <m/>
    <m/>
    <m/>
    <m/>
    <m/>
    <m/>
    <m/>
    <x v="2"/>
    <m/>
    <m/>
    <m/>
    <m/>
    <m/>
    <m/>
    <m/>
    <m/>
    <m/>
  </r>
  <r>
    <m/>
    <m/>
    <x v="7"/>
    <m/>
    <m/>
    <m/>
    <m/>
    <m/>
    <m/>
    <m/>
    <m/>
    <x v="2"/>
    <m/>
    <m/>
    <m/>
    <m/>
    <m/>
    <m/>
    <m/>
    <m/>
    <m/>
  </r>
  <r>
    <m/>
    <m/>
    <x v="7"/>
    <m/>
    <m/>
    <m/>
    <m/>
    <m/>
    <m/>
    <m/>
    <m/>
    <x v="2"/>
    <m/>
    <m/>
    <m/>
    <m/>
    <m/>
    <m/>
    <m/>
    <m/>
    <m/>
  </r>
  <r>
    <m/>
    <m/>
    <x v="7"/>
    <m/>
    <m/>
    <m/>
    <m/>
    <m/>
    <m/>
    <m/>
    <m/>
    <x v="2"/>
    <m/>
    <m/>
    <m/>
    <m/>
    <m/>
    <m/>
    <m/>
    <m/>
    <m/>
  </r>
  <r>
    <m/>
    <m/>
    <x v="7"/>
    <m/>
    <n v="750"/>
    <m/>
    <m/>
    <m/>
    <m/>
    <m/>
    <m/>
    <x v="2"/>
    <m/>
    <m/>
    <m/>
    <m/>
    <m/>
    <m/>
    <m/>
    <m/>
    <m/>
  </r>
  <r>
    <m/>
    <m/>
    <x v="7"/>
    <m/>
    <m/>
    <m/>
    <m/>
    <m/>
    <m/>
    <m/>
    <m/>
    <x v="2"/>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C6669D-B1CC-4C44-9FA5-5F72775D17A6}"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6" firstHeaderRow="1" firstDataRow="1" firstDataCol="1"/>
  <pivotFields count="21">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h="1" x="3"/>
        <item t="default"/>
      </items>
    </pivotField>
    <pivotField showAll="0"/>
    <pivotField showAll="0"/>
    <pivotField showAll="0"/>
    <pivotField showAll="0"/>
    <pivotField showAll="0"/>
  </pivotFields>
  <rowFields count="1">
    <field x="15"/>
  </rowFields>
  <rowItems count="4">
    <i>
      <x/>
    </i>
    <i>
      <x v="1"/>
    </i>
    <i>
      <x v="2"/>
    </i>
    <i t="grand">
      <x/>
    </i>
  </rowItems>
  <colItems count="1">
    <i/>
  </colItems>
  <dataFields count="1">
    <dataField name="Count of Project 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1DB463-1F0F-4434-B634-988F59F2477F}"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6" firstHeaderRow="1" firstDataRow="1" firstDataCol="1"/>
  <pivotFields count="26">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s>
  <rowFields count="1">
    <field x="17"/>
  </rowFields>
  <rowItems count="4">
    <i>
      <x/>
    </i>
    <i>
      <x v="1"/>
    </i>
    <i>
      <x v="2"/>
    </i>
    <i t="grand">
      <x/>
    </i>
  </rowItems>
  <colItems count="1">
    <i/>
  </colItems>
  <dataFields count="1">
    <dataField name="Count of Project Name" fld="5" subtotal="count" baseField="0" baseItem="0"/>
  </dataFields>
  <formats count="6">
    <format dxfId="5">
      <pivotArea type="all" dataOnly="0" outline="0" fieldPosition="0"/>
    </format>
    <format dxfId="4">
      <pivotArea outline="0" collapsedLevelsAreSubtotals="1" fieldPosition="0"/>
    </format>
    <format dxfId="3">
      <pivotArea field="17" type="button" dataOnly="0" labelOnly="1" outline="0" axis="axisRow" fieldPosition="0"/>
    </format>
    <format dxfId="2">
      <pivotArea dataOnly="0" labelOnly="1" fieldPosition="0">
        <references count="1">
          <reference field="17"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D91D9E-4966-4867-9185-B53CC4BC246C}"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2:F31" firstHeaderRow="1" firstDataRow="1" firstDataCol="1"/>
  <pivotFields count="21">
    <pivotField showAll="0"/>
    <pivotField showAll="0"/>
    <pivotField showAll="0"/>
    <pivotField showAll="0"/>
    <pivotField dataField="1" showAll="0"/>
    <pivotField showAll="0"/>
    <pivotField showAll="0"/>
    <pivotField showAll="0"/>
    <pivotField showAll="0"/>
    <pivotField showAll="0"/>
    <pivotField axis="axisRow" showAll="0">
      <items count="5">
        <item x="1"/>
        <item x="0"/>
        <item m="1" x="3"/>
        <item h="1" x="2"/>
        <item t="default"/>
      </items>
    </pivotField>
    <pivotField showAll="0"/>
    <pivotField axis="axisRow" showAll="0">
      <items count="18">
        <item x="2"/>
        <item x="0"/>
        <item m="1" x="9"/>
        <item m="1" x="8"/>
        <item m="1" x="12"/>
        <item m="1" x="11"/>
        <item m="1" x="7"/>
        <item m="1" x="16"/>
        <item x="6"/>
        <item m="1" x="10"/>
        <item x="5"/>
        <item m="1" x="13"/>
        <item m="1" x="14"/>
        <item m="1" x="15"/>
        <item x="3"/>
        <item x="4"/>
        <item x="1"/>
        <item t="default"/>
      </items>
    </pivotField>
    <pivotField showAll="0"/>
    <pivotField showAll="0"/>
    <pivotField showAll="0"/>
    <pivotField showAll="0"/>
    <pivotField showAll="0"/>
    <pivotField showAll="0"/>
    <pivotField showAll="0"/>
    <pivotField showAll="0"/>
  </pivotFields>
  <rowFields count="2">
    <field x="10"/>
    <field x="12"/>
  </rowFields>
  <rowItems count="9">
    <i>
      <x/>
    </i>
    <i r="1">
      <x v="15"/>
    </i>
    <i>
      <x v="1"/>
    </i>
    <i r="1">
      <x/>
    </i>
    <i r="1">
      <x v="1"/>
    </i>
    <i r="1">
      <x v="10"/>
    </i>
    <i r="1">
      <x v="14"/>
    </i>
    <i r="1">
      <x v="16"/>
    </i>
    <i t="grand">
      <x/>
    </i>
  </rowItems>
  <colItems count="1">
    <i/>
  </colItems>
  <dataFields count="1">
    <dataField name="Count of Project 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BA2F64-48BD-40C5-ACFE-EB070777A14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rea">
  <location ref="A41:B49" firstHeaderRow="1" firstDataRow="1" firstDataCol="1"/>
  <pivotFields count="21">
    <pivotField showAll="0"/>
    <pivotField showAll="0"/>
    <pivotField axis="axisRow" showAll="0" sortType="descending">
      <items count="14">
        <item x="4"/>
        <item x="0"/>
        <item x="3"/>
        <item x="2"/>
        <item x="5"/>
        <item x="1"/>
        <item h="1" x="7"/>
        <item m="1" x="9"/>
        <item m="1" x="10"/>
        <item m="1" x="11"/>
        <item m="1" x="12"/>
        <item x="6"/>
        <item m="1" x="8"/>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v="5"/>
    </i>
    <i>
      <x v="1"/>
    </i>
    <i>
      <x v="3"/>
    </i>
    <i>
      <x/>
    </i>
    <i>
      <x v="2"/>
    </i>
    <i>
      <x v="11"/>
    </i>
    <i>
      <x v="4"/>
    </i>
    <i t="grand">
      <x/>
    </i>
  </rowItems>
  <colItems count="1">
    <i/>
  </colItems>
  <dataFields count="1">
    <dataField name="Count of Projects" fld="4" subtotal="count" baseField="0" baseItem="0"/>
  </dataFields>
  <formats count="10">
    <format dxfId="15">
      <pivotArea type="all" dataOnly="0" outline="0" fieldPosition="0"/>
    </format>
    <format dxfId="14">
      <pivotArea outline="0" collapsedLevelsAreSubtotals="1" fieldPosition="0"/>
    </format>
    <format dxfId="13">
      <pivotArea field="2" type="button" dataOnly="0" labelOnly="1" outline="0" axis="axisRow" fieldPosition="0"/>
    </format>
    <format dxfId="12">
      <pivotArea dataOnly="0" labelOnly="1" fieldPosition="0">
        <references count="1">
          <reference field="2" count="0"/>
        </references>
      </pivotArea>
    </format>
    <format dxfId="11">
      <pivotArea dataOnly="0" labelOnly="1" grandRow="1" outline="0" fieldPosition="0"/>
    </format>
    <format dxfId="10">
      <pivotArea dataOnly="0" labelOnly="1" outline="0" axis="axisValues" fieldPosition="0"/>
    </format>
    <format dxfId="9">
      <pivotArea field="2" type="button" dataOnly="0" labelOnly="1" outline="0" axis="axisRow" fieldPosition="0"/>
    </format>
    <format dxfId="8">
      <pivotArea dataOnly="0" labelOnly="1" outline="0" axis="axisValues" fieldPosition="0"/>
    </format>
    <format dxfId="7">
      <pivotArea field="2" type="button" dataOnly="0" labelOnly="1" outline="0" axis="axisRow"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CE59B5-91E9-454A-9601-E0F7C34A21A2}"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6" firstHeaderRow="1" firstDataRow="1" firstDataCol="1"/>
  <pivotFields count="21">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5">
        <item x="1"/>
        <item x="2"/>
        <item x="0"/>
        <item h="1" x="3"/>
        <item t="default"/>
      </items>
    </pivotField>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Count of Project 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0FB7C8-C740-40FD-AF8D-E16FC0B9AD8E}" name="PivotTable1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5" firstHeaderRow="1" firstDataRow="1" firstDataCol="1"/>
  <pivotFields count="21">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5">
        <item x="1"/>
        <item x="0"/>
        <item h="1" x="2"/>
        <item h="1" m="1" x="3"/>
        <item t="default"/>
      </items>
    </pivotField>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Project 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BDDAF6-BF94-4B1D-AD98-19DA7ECC6975}"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rea">
  <location ref="E41:H46" firstHeaderRow="1" firstDataRow="2" firstDataCol="1"/>
  <pivotFields count="21">
    <pivotField showAll="0"/>
    <pivotField showAll="0"/>
    <pivotField axis="axisRow" showAll="0" sortType="descending">
      <items count="14">
        <item x="4"/>
        <item x="0"/>
        <item h="1" x="3"/>
        <item h="1" x="2"/>
        <item x="5"/>
        <item h="1" x="1"/>
        <item h="1" x="7"/>
        <item h="1" m="1" x="9"/>
        <item h="1" m="1" x="10"/>
        <item h="1" m="1" x="11"/>
        <item h="1" m="1" x="12"/>
        <item h="1" x="6"/>
        <item h="1" m="1" x="8"/>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2"/>
  </rowFields>
  <rowItems count="4">
    <i>
      <x v="1"/>
    </i>
    <i>
      <x/>
    </i>
    <i>
      <x v="4"/>
    </i>
    <i t="grand">
      <x/>
    </i>
  </rowItems>
  <colFields count="1">
    <field x="11"/>
  </colFields>
  <colItems count="3">
    <i>
      <x/>
    </i>
    <i>
      <x v="1"/>
    </i>
    <i t="grand">
      <x/>
    </i>
  </colItems>
  <dataFields count="1">
    <dataField name="Count of Project 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8" dT="2025-07-03T13:42:23.27" personId="{E73C6D76-262C-44AE-90C6-9C90F2A7514A}" id="{258DAA5F-8BF9-440A-890A-705FF43A1C2E}">
    <text>Raghavendra</text>
  </threadedComment>
  <threadedComment ref="A11" dT="2025-07-01T18:07:37.23" personId="{E73C6D76-262C-44AE-90C6-9C90F2A7514A}" id="{7F1EB2BC-9446-4DCE-BA04-544FE50D697B}">
    <text>Raju Naik</text>
  </threadedComment>
  <threadedComment ref="A12" dT="2025-07-01T18:07:48.88" personId="{E73C6D76-262C-44AE-90C6-9C90F2A7514A}" id="{29890289-999B-4BE7-A734-F94F93B50E65}">
    <text>Purushotham Bathula</text>
  </threadedComment>
  <threadedComment ref="A13" dT="2025-07-03T13:42:04.50" personId="{E73C6D76-262C-44AE-90C6-9C90F2A7514A}" id="{49616A5D-F12F-4449-B7DE-AED2D8853A85}">
    <text>Raghavendra</text>
  </threadedComment>
  <threadedComment ref="A14" dT="2025-07-03T17:03:59.02" personId="{E73C6D76-262C-44AE-90C6-9C90F2A7514A}" id="{27E3740D-271E-4851-A697-A90C5904430F}">
    <text>Amaladeepan 312 Hrs only</text>
  </threadedComment>
  <threadedComment ref="A15" dT="2025-07-08T09:33:20.92" personId="{E73C6D76-262C-44AE-90C6-9C90F2A7514A}" id="{0A2ECA34-B5CD-4A73-93FF-54D6948D6342}">
    <text xml:space="preserve">Bhabagrahi Lenka </text>
  </threadedComment>
  <threadedComment ref="A16" dT="2025-07-08T09:34:02.47" personId="{E73C6D76-262C-44AE-90C6-9C90F2A7514A}" id="{41097D18-F612-4C91-8CF3-97797F2F56EA}">
    <text>Prativa Karali</text>
  </threadedComment>
  <threadedComment ref="A17" dT="2025-07-14T17:04:06.56" personId="{E73C6D76-262C-44AE-90C6-9C90F2A7514A}" id="{2659E950-214B-4C2F-A388-7E8B98F008B0}">
    <text>Vamsi Krishna</text>
  </threadedComment>
  <threadedComment ref="A18" dT="2025-07-15T18:01:59.74" personId="{E73C6D76-262C-44AE-90C6-9C90F2A7514A}" id="{2B939F7A-335B-41D4-8898-DCE73AD6439C}">
    <text>SA_ Rajat Gupta, BA - Debashish, DU Dev - Ranjit Udaykumar</text>
  </threadedComment>
  <threadedComment ref="A19" dT="2025-07-15T18:02:52.72" personId="{E73C6D76-262C-44AE-90C6-9C90F2A7514A}" id="{07BD1ECF-3110-4074-A418-184647118F7B}">
    <text>DU Dev - Amit Joshi, Vasantha R</text>
  </threadedComment>
  <threadedComment ref="A20" dT="2025-07-24T14:54:42.37" personId="{E73C6D76-262C-44AE-90C6-9C90F2A7514A}" id="{0637DE02-5060-4056-BD0D-C15778D07999}">
    <text>Dev - Anand Karn</text>
  </threadedComment>
  <threadedComment ref="A21" dT="2025-07-18T14:49:23.19" personId="{E73C6D76-262C-44AE-90C6-9C90F2A7514A}" id="{F6B2DBA3-DB2B-4C5E-83ED-A29364860B86}">
    <text>Dev - Kalki Suresh Kuma, PM - Amit Kumar</text>
  </threadedComment>
  <threadedComment ref="A22" dT="2025-07-29T13:41:55.06" personId="{E73C6D76-262C-44AE-90C6-9C90F2A7514A}" id="{A150C785-63EB-4FBE-88DC-A540E969A1A4}">
    <text xml:space="preserve">Dev - Pranet, SA - Vasanth </text>
  </threadedComment>
  <threadedComment ref="A23" dT="2025-07-29T13:42:31.01" personId="{E73C6D76-262C-44AE-90C6-9C90F2A7514A}" id="{19F284C4-37D7-4DFE-A530-5CAA734B9792}">
    <text>DU Dev - Ritesh Burman</text>
  </threadedComment>
  <threadedComment ref="A24" dT="2025-08-20T13:52:53.82" personId="{E73C6D76-262C-44AE-90C6-9C90F2A7514A}" id="{1594E546-5AA5-4B86-B530-C659695C3BEB}">
    <text>Santhosh Arjun</text>
  </threadedComment>
  <threadedComment ref="A25" dT="2025-08-20T13:59:52.92" personId="{E73C6D76-262C-44AE-90C6-9C90F2A7514A}" id="{96DC9357-BCD7-43B4-9B7A-BE453D1A36B0}">
    <text>Chetan Dawan</text>
  </threadedComment>
  <threadedComment ref="A26" dT="2025-08-20T14:02:01.04" personId="{E73C6D76-262C-44AE-90C6-9C90F2A7514A}" id="{443074D2-BA84-4512-A1D8-84A177894495}">
    <text>George Ken</text>
  </threadedComment>
  <threadedComment ref="A27" dT="2025-08-20T14:49:10.34" personId="{E73C6D76-262C-44AE-90C6-9C90F2A7514A}" id="{CCF02E84-FFBA-4424-AA92-24FED61F9653}">
    <text>Syed Abdahir</text>
  </threadedComment>
  <threadedComment ref="A28" dT="2025-08-20T17:31:06.28" personId="{E73C6D76-262C-44AE-90C6-9C90F2A7514A}" id="{C5D35969-B46B-4382-8866-435BA42C9566}">
    <text>Ritesh Burman</text>
  </threadedComment>
  <threadedComment ref="A29" dT="2025-08-20T14:48:08.90" personId="{E73C6D76-262C-44AE-90C6-9C90F2A7514A}" id="{744F8964-3E77-473A-9DA1-80E972ECC8A2}">
    <text>Vasantha R</text>
  </threadedComment>
  <threadedComment ref="A30" dT="2025-08-20T16:50:16.69" personId="{E73C6D76-262C-44AE-90C6-9C90F2A7514A}" id="{8062FA0C-57B6-462B-BC3C-2ADD86AD4C02}">
    <text>Raju Naik</text>
  </threadedComment>
  <threadedComment ref="A31" dT="2025-08-24T05:11:35.82" personId="{E73C6D76-262C-44AE-90C6-9C90F2A7514A}" id="{AF32F310-9276-43F3-A0A8-E38448718822}">
    <text>Dev - Chetan Dawan</text>
  </threadedComment>
  <threadedComment ref="A32" dT="2025-08-24T04:25:29.14" personId="{E73C6D76-262C-44AE-90C6-9C90F2A7514A}" id="{5C461A19-107D-461E-963F-B6A0C526078A}">
    <text>Dev - Vasanth S</text>
  </threadedComment>
  <threadedComment ref="A33" dT="2025-09-01T04:47:36.00" personId="{E73C6D76-262C-44AE-90C6-9C90F2A7514A}" id="{90679DAF-41D4-487C-A102-6655FB2802A1}">
    <text>SA - Saranya , Infra - Arjun</text>
  </threadedComment>
  <threadedComment ref="A34" dT="2025-09-15T05:50:00.83" personId="{E73C6D76-262C-44AE-90C6-9C90F2A7514A}" id="{F4279571-F7EF-46E0-8778-AB371A3C9BE5}">
    <text>Navas Hamsa</text>
  </threadedComment>
  <threadedComment ref="A35" dT="2025-09-15T05:49:14.64" personId="{E73C6D76-262C-44AE-90C6-9C90F2A7514A}" id="{2DB00693-4C45-4562-9C76-D2EEB0D8F197}">
    <text xml:space="preserve">Developers - Anshuman, Mina Mundhe, Dharunya </text>
  </threadedComment>
  <threadedComment ref="A36" dT="2025-09-18T17:21:28.19" personId="{E73C6D76-262C-44AE-90C6-9C90F2A7514A}" id="{3E04A5F5-3D13-41AE-AD62-36DE5BC71AE9}">
    <text>Sanjana M</text>
  </threadedComment>
  <threadedComment ref="A37" dT="2025-09-25T16:45:09.97" personId="{E73C6D76-262C-44AE-90C6-9C90F2A7514A}" id="{5B1FE04C-43F8-4B38-96E5-1583C665D80D}">
    <text>Shubam Jhadav</text>
  </threadedComment>
  <threadedComment ref="A38" dT="2025-10-06T17:31:19.49" personId="{E73C6D76-262C-44AE-90C6-9C90F2A7514A}" id="{0E8B730A-8CE1-405A-804A-6F8329E0190B}">
    <text>SA - Vasanth Sankaran, Sr. Dev - Abishek Singh</text>
  </threadedComment>
  <threadedComment ref="A39" dT="2025-10-17T04:35:22.19" personId="{E73C6D76-262C-44AE-90C6-9C90F2A7514A}" id="{06E89D9F-3297-4797-B4AA-C809082488F3}">
    <text>Dev - Sarita Shukla</text>
  </threadedComment>
  <threadedComment ref="A40" dT="2025-10-17T16:40:04.46" personId="{E73C6D76-262C-44AE-90C6-9C90F2A7514A}" id="{13EEE82D-543C-4A1F-BC33-514CEF46AD6A}">
    <text>DU Dev - Nikita Pai, SA - Raghav</text>
  </threadedComment>
  <threadedComment ref="A41" dT="2025-10-17T16:40:04.46" personId="{E73C6D76-262C-44AE-90C6-9C90F2A7514A}" id="{20F7B3E0-264E-4B7A-BF5F-8C2AD206EAD9}">
    <text>Dev - Hitesh Kumar</text>
  </threadedComment>
  <threadedComment ref="A42" dT="2025-11-05T17:23:52.12" personId="{E73C6D76-262C-44AE-90C6-9C90F2A7514A}" id="{45F296D8-03DB-4AAA-910F-B0B21B827323}">
    <text>SA - LIri</text>
  </threadedComment>
  <threadedComment ref="A43" dT="2025-11-05T17:22:05.99" personId="{E73C6D76-262C-44AE-90C6-9C90F2A7514A}" id="{7E667480-5A01-4B20-A39D-94B17F16D551}">
    <text>SA - k. Veerapandiyan
Dev - Vinod Badgujar</text>
  </threadedComment>
  <threadedComment ref="A44" dT="2025-11-17T05:02:20.29" personId="{E73C6D76-262C-44AE-90C6-9C90F2A7514A}" id="{A4CDAA80-A45F-4C86-BFFD-782BAC3E96D2}">
    <text>Agentic Dev - Shlok Singh</text>
  </threadedComment>
  <threadedComment ref="A45" dT="2025-11-17T05:04:15.95" personId="{E73C6D76-262C-44AE-90C6-9C90F2A7514A}" id="{827AFDA5-8479-4C3C-953F-087F1CAF20E4}">
    <text>Dev - Sachdeep Singh</text>
  </threadedComment>
  <threadedComment ref="A46" dT="2025-11-24T05:41:29.98" personId="{E73C6D76-262C-44AE-90C6-9C90F2A7514A}" id="{BB9F1CC6-438A-440F-84E4-F2E3E2E4DC0B}">
    <text>SA - Chaman, Dev - Shivanugowda</text>
  </threadedComment>
  <threadedComment ref="A47" dT="2025-11-18T12:28:27.44" personId="{E73C6D76-262C-44AE-90C6-9C90F2A7514A}" id="{0276B583-3855-4A42-A757-DA7FCDEE354D}">
    <text>Dev - Karthik Deshpande</text>
  </threadedComment>
  <threadedComment ref="A48" dT="2025-12-24T14:41:34.37" personId="{E73C6D76-262C-44AE-90C6-9C90F2A7514A}" id="{C42BCD5B-1382-43F9-A359-185A765F0FFA}">
    <text>SA - Sagi Shailendra</text>
  </threadedComment>
  <threadedComment ref="A49" dT="2025-12-24T14:42:02.92" personId="{E73C6D76-262C-44AE-90C6-9C90F2A7514A}" id="{24F8D931-E342-47C0-A709-01D0D5A6825B}">
    <text>BA - Rijan Gaha, Dev - Varun Bharadwaj</text>
  </threadedComment>
</ThreadedComments>
</file>

<file path=xl/threadedComments/threadedComment2.xml><?xml version="1.0" encoding="utf-8"?>
<ThreadedComments xmlns="http://schemas.microsoft.com/office/spreadsheetml/2018/threadedcomments" xmlns:x="http://schemas.openxmlformats.org/spreadsheetml/2006/main">
  <threadedComment ref="F12" dT="2026-01-13T17:33:11.58" personId="{E73C6D76-262C-44AE-90C6-9C90F2A7514A}" id="{8773B172-4EC5-439F-8862-EC7F3E305148}">
    <text>DU/IXP</text>
  </threadedComment>
  <threadedComment ref="F28" dT="2026-01-13T17:33:30.29" personId="{E73C6D76-262C-44AE-90C6-9C90F2A7514A}" id="{98C52F99-F864-4A9B-ABA0-E1FA5B1AA996}">
    <text>Agentic</text>
  </threadedComment>
  <threadedComment ref="K29" dT="2025-06-04T08:59:47.81" personId="{E73C6D76-262C-44AE-90C6-9C90F2A7514A}" id="{E984EB8B-3EFD-421B-9AC0-38FD82F47E8F}">
    <text>CR to add 200 hrs approved on 29 April 2025</text>
  </threadedComment>
  <threadedComment ref="G31" dT="2026-02-26T13:49:54.64" personId="{E73C6D76-262C-44AE-90C6-9C90F2A7514A}" id="{01DE00AB-3B7B-4582-806D-19B95936D3E0}">
    <text>New York</text>
  </threadedComment>
  <threadedComment ref="G47" dT="2026-02-26T13:50:56.84" personId="{E73C6D76-262C-44AE-90C6-9C90F2A7514A}" id="{D0EA1800-8BEB-415C-AA70-DFF4D41DF007}">
    <text>New York</text>
  </threadedComment>
</ThreadedComments>
</file>

<file path=xl/threadedComments/threadedComment3.xml><?xml version="1.0" encoding="utf-8"?>
<ThreadedComments xmlns="http://schemas.microsoft.com/office/spreadsheetml/2018/threadedcomments" xmlns:x="http://schemas.openxmlformats.org/spreadsheetml/2006/main">
  <threadedComment ref="B44" dT="2025-02-03T09:39:14.65" personId="{E73C6D76-262C-44AE-90C6-9C90F2A7514A}" id="{FA364A7C-DB93-40E3-BA48-5B2311E9A0BC}">
    <text>Sagar, Shikha, Sukannya, Sunil
Closed in Jan 2025</text>
  </threadedComment>
  <threadedComment ref="B46" dT="2025-02-03T09:38:36.16" personId="{E73C6D76-262C-44AE-90C6-9C90F2A7514A}" id="{004ED087-5C02-4A59-BFAB-5091AE3B1785}">
    <text>Priya Kannan
Closed in Jan 2025</text>
  </threadedComment>
  <threadedComment ref="C49" dT="2025-01-28T10:25:22.10" personId="{E73C6D76-262C-44AE-90C6-9C90F2A7514A}" id="{021AA459-7452-4769-9585-378E777473F4}">
    <text>Zero $ SOW- extension of PR-008494</text>
  </threadedComment>
  <threadedComment ref="B66" dT="2025-02-03T09:39:42.70" personId="{E73C6D76-262C-44AE-90C6-9C90F2A7514A}" id="{335F65ED-4158-4AAF-9C93-7DD1F8FA73AE}">
    <text>Priya Kannan
Closed in Jan 2025</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CE518-A459-45D8-AC40-BC373BB7456B}">
  <dimension ref="A1:I11"/>
  <sheetViews>
    <sheetView showGridLines="0" topLeftCell="F1" workbookViewId="0">
      <selection activeCell="H3" sqref="H3"/>
    </sheetView>
  </sheetViews>
  <sheetFormatPr defaultColWidth="8.81640625" defaultRowHeight="14.5" x14ac:dyDescent="0.35"/>
  <cols>
    <col min="1" max="1" width="17.81640625" bestFit="1" customWidth="1"/>
    <col min="2" max="2" width="50.81640625" bestFit="1" customWidth="1"/>
    <col min="3" max="3" width="6" bestFit="1" customWidth="1"/>
    <col min="4" max="4" width="10.54296875" bestFit="1" customWidth="1"/>
    <col min="6" max="6" width="14.54296875" customWidth="1"/>
    <col min="7" max="7" width="26.81640625" customWidth="1"/>
    <col min="8" max="8" width="35.1796875" customWidth="1"/>
    <col min="9" max="9" width="46.1796875" customWidth="1"/>
  </cols>
  <sheetData>
    <row r="1" spans="1:9" ht="15" thickBot="1" x14ac:dyDescent="0.4">
      <c r="A1" s="51" t="s">
        <v>0</v>
      </c>
      <c r="B1" s="51" t="s">
        <v>1</v>
      </c>
      <c r="C1" s="51" t="s">
        <v>2</v>
      </c>
      <c r="D1" s="51" t="s">
        <v>3</v>
      </c>
    </row>
    <row r="2" spans="1:9" s="26" customFormat="1" ht="13.5" thickBot="1" x14ac:dyDescent="0.35">
      <c r="A2" s="45"/>
      <c r="B2" s="46" t="s">
        <v>4</v>
      </c>
      <c r="C2" s="47">
        <v>1</v>
      </c>
      <c r="D2" s="185">
        <f>C2/C6</f>
        <v>1.8867924528301886E-2</v>
      </c>
      <c r="G2" s="35" t="s">
        <v>0</v>
      </c>
      <c r="H2" s="36" t="s">
        <v>5</v>
      </c>
      <c r="I2" s="37" t="s">
        <v>6</v>
      </c>
    </row>
    <row r="3" spans="1:9" s="26" customFormat="1" ht="58" thickBot="1" x14ac:dyDescent="0.35">
      <c r="A3" s="65" t="s">
        <v>7</v>
      </c>
      <c r="B3" s="13" t="s">
        <v>8</v>
      </c>
      <c r="C3" s="47"/>
      <c r="D3" s="185"/>
      <c r="G3" s="38" t="s">
        <v>9</v>
      </c>
      <c r="H3" s="39" t="s">
        <v>10</v>
      </c>
      <c r="I3" s="40" t="s">
        <v>11</v>
      </c>
    </row>
    <row r="4" spans="1:9" s="26" customFormat="1" ht="23" x14ac:dyDescent="0.35">
      <c r="A4" s="65" t="s">
        <v>12</v>
      </c>
      <c r="B4" s="13" t="s">
        <v>13</v>
      </c>
      <c r="C4" s="47"/>
      <c r="D4" s="185"/>
      <c r="G4"/>
      <c r="H4"/>
      <c r="I4"/>
    </row>
    <row r="5" spans="1:9" s="26" customFormat="1" ht="13" x14ac:dyDescent="0.3">
      <c r="A5" s="48"/>
      <c r="B5" s="49" t="s">
        <v>14</v>
      </c>
      <c r="C5" s="47">
        <v>52</v>
      </c>
      <c r="D5" s="50">
        <f>C5/C6</f>
        <v>0.98113207547169812</v>
      </c>
    </row>
    <row r="6" spans="1:9" s="26" customFormat="1" ht="13" x14ac:dyDescent="0.3">
      <c r="A6" s="48"/>
      <c r="B6" s="47" t="s">
        <v>15</v>
      </c>
      <c r="C6" s="47">
        <f>C5+C2</f>
        <v>53</v>
      </c>
      <c r="D6" s="50">
        <v>1</v>
      </c>
    </row>
    <row r="10" spans="1:9" ht="15" thickBot="1" x14ac:dyDescent="0.4"/>
    <row r="11" spans="1:9" ht="15" thickBot="1" x14ac:dyDescent="0.4">
      <c r="B11" s="99" t="s">
        <v>16</v>
      </c>
    </row>
  </sheetData>
  <mergeCells count="1">
    <mergeCell ref="D2: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83BE-1C14-493D-9745-A4A62BFAF1E3}">
  <dimension ref="A1:Q57"/>
  <sheetViews>
    <sheetView showGridLines="0" zoomScale="115" zoomScaleNormal="115" workbookViewId="0">
      <pane xSplit="1" ySplit="1" topLeftCell="B26" activePane="bottomRight" state="frozen"/>
      <selection pane="topRight" activeCell="B1" sqref="B1"/>
      <selection pane="bottomLeft" activeCell="A2" sqref="A2"/>
      <selection pane="bottomRight" activeCell="H33" sqref="H33"/>
    </sheetView>
  </sheetViews>
  <sheetFormatPr defaultColWidth="8.81640625" defaultRowHeight="14.5" x14ac:dyDescent="0.35"/>
  <cols>
    <col min="1" max="1" width="13.54296875" style="25" bestFit="1" customWidth="1"/>
    <col min="2" max="2" width="8.81640625" style="24"/>
    <col min="3" max="3" width="9.81640625" style="24" customWidth="1"/>
    <col min="4" max="7" width="8.81640625" style="24"/>
    <col min="8" max="9" width="8.81640625" style="25"/>
    <col min="10" max="10" width="8.81640625" style="24"/>
    <col min="11" max="11" width="73.453125" bestFit="1" customWidth="1"/>
    <col min="12" max="12" width="15.54296875" customWidth="1"/>
    <col min="13" max="13" width="8.81640625" style="25"/>
    <col min="14" max="14" width="10" style="25" bestFit="1" customWidth="1"/>
    <col min="15" max="16384" width="8.81640625" style="25"/>
  </cols>
  <sheetData>
    <row r="1" spans="1:12" ht="26" x14ac:dyDescent="0.35">
      <c r="A1" s="24"/>
      <c r="B1" s="8" t="s">
        <v>17</v>
      </c>
      <c r="C1" s="8" t="s">
        <v>18</v>
      </c>
      <c r="D1" s="8" t="s">
        <v>19</v>
      </c>
      <c r="E1" s="8" t="s">
        <v>20</v>
      </c>
      <c r="F1" s="8" t="s">
        <v>21</v>
      </c>
      <c r="G1" s="8" t="s">
        <v>22</v>
      </c>
      <c r="J1" s="8" t="s">
        <v>23</v>
      </c>
      <c r="K1" s="8" t="s">
        <v>24</v>
      </c>
      <c r="L1" s="8" t="s">
        <v>25</v>
      </c>
    </row>
    <row r="2" spans="1:12" x14ac:dyDescent="0.35">
      <c r="A2" s="24" t="s">
        <v>26</v>
      </c>
      <c r="B2" s="24">
        <f t="shared" ref="B2:B4" si="0">SUM(C2:G2)</f>
        <v>3</v>
      </c>
      <c r="G2" s="24">
        <v>3</v>
      </c>
      <c r="J2" s="24">
        <v>1</v>
      </c>
      <c r="K2" s="11" t="s">
        <v>27</v>
      </c>
      <c r="L2">
        <v>1</v>
      </c>
    </row>
    <row r="3" spans="1:12" x14ac:dyDescent="0.35">
      <c r="A3" s="32" t="s">
        <v>28</v>
      </c>
      <c r="B3" s="24">
        <f t="shared" si="0"/>
        <v>3</v>
      </c>
      <c r="G3" s="24">
        <v>3</v>
      </c>
      <c r="J3" s="24">
        <v>2</v>
      </c>
      <c r="K3" s="11" t="s">
        <v>29</v>
      </c>
      <c r="L3">
        <v>1</v>
      </c>
    </row>
    <row r="4" spans="1:12" x14ac:dyDescent="0.35">
      <c r="A4" s="32" t="s">
        <v>30</v>
      </c>
      <c r="B4" s="24">
        <f t="shared" si="0"/>
        <v>6</v>
      </c>
      <c r="C4" s="24">
        <v>2</v>
      </c>
      <c r="D4" s="24">
        <v>1</v>
      </c>
      <c r="G4" s="24">
        <v>3</v>
      </c>
      <c r="J4" s="24">
        <v>3</v>
      </c>
      <c r="K4" s="98" t="s">
        <v>31</v>
      </c>
      <c r="L4">
        <v>1</v>
      </c>
    </row>
    <row r="5" spans="1:12" x14ac:dyDescent="0.35">
      <c r="A5" s="32" t="s">
        <v>32</v>
      </c>
      <c r="B5" s="24">
        <f>SUM(C5:G5)</f>
        <v>3</v>
      </c>
      <c r="G5" s="24">
        <v>3</v>
      </c>
      <c r="J5" s="24">
        <v>4</v>
      </c>
      <c r="K5" s="11" t="s">
        <v>33</v>
      </c>
      <c r="L5">
        <v>2</v>
      </c>
    </row>
    <row r="6" spans="1:12" x14ac:dyDescent="0.35">
      <c r="A6" s="32" t="s">
        <v>34</v>
      </c>
      <c r="B6" s="24">
        <f>SUM(C6:G6)</f>
        <v>4</v>
      </c>
      <c r="C6" s="24">
        <v>3</v>
      </c>
      <c r="F6" s="24">
        <v>1</v>
      </c>
      <c r="J6" s="24">
        <v>5</v>
      </c>
      <c r="K6" s="11" t="s">
        <v>35</v>
      </c>
      <c r="L6">
        <v>1</v>
      </c>
    </row>
    <row r="7" spans="1:12" x14ac:dyDescent="0.35">
      <c r="A7" s="25" t="s">
        <v>36</v>
      </c>
      <c r="B7" s="24">
        <f>SUM(C7:G7)</f>
        <v>79</v>
      </c>
      <c r="D7" s="24">
        <v>1</v>
      </c>
      <c r="G7" s="24">
        <v>78</v>
      </c>
      <c r="J7" s="24">
        <v>6</v>
      </c>
      <c r="K7" s="11" t="s">
        <v>37</v>
      </c>
      <c r="L7">
        <v>3</v>
      </c>
    </row>
    <row r="8" spans="1:12" x14ac:dyDescent="0.35">
      <c r="A8" s="25" t="s">
        <v>38</v>
      </c>
      <c r="B8" s="24">
        <f>SUM(C8:G8)</f>
        <v>9</v>
      </c>
      <c r="C8" s="24">
        <v>1</v>
      </c>
      <c r="D8" s="24">
        <v>2</v>
      </c>
      <c r="F8" s="24">
        <v>5</v>
      </c>
      <c r="G8" s="24">
        <v>1</v>
      </c>
      <c r="J8" s="24">
        <v>7</v>
      </c>
      <c r="K8" s="28" t="s">
        <v>39</v>
      </c>
      <c r="L8">
        <v>2</v>
      </c>
    </row>
    <row r="9" spans="1:12" x14ac:dyDescent="0.35">
      <c r="A9" s="25" t="s">
        <v>40</v>
      </c>
      <c r="B9" s="24">
        <f t="shared" ref="B9" si="1">SUM(C9:G9)</f>
        <v>38</v>
      </c>
      <c r="C9" s="24">
        <v>2</v>
      </c>
      <c r="D9" s="24">
        <v>1</v>
      </c>
      <c r="E9" s="24">
        <v>2</v>
      </c>
      <c r="F9" s="24">
        <v>1</v>
      </c>
      <c r="G9" s="24">
        <v>32</v>
      </c>
      <c r="J9" s="24">
        <v>8</v>
      </c>
      <c r="K9" s="7" t="s">
        <v>41</v>
      </c>
      <c r="L9">
        <v>2</v>
      </c>
    </row>
    <row r="10" spans="1:12" x14ac:dyDescent="0.35">
      <c r="A10" s="25" t="s">
        <v>42</v>
      </c>
      <c r="B10" s="24">
        <f>SUM(C10:G10)</f>
        <v>3</v>
      </c>
      <c r="D10" s="24">
        <v>1</v>
      </c>
      <c r="G10" s="24">
        <v>2</v>
      </c>
      <c r="J10" s="24">
        <v>9</v>
      </c>
      <c r="K10" s="11" t="s">
        <v>43</v>
      </c>
      <c r="L10">
        <v>1</v>
      </c>
    </row>
    <row r="11" spans="1:12" x14ac:dyDescent="0.35">
      <c r="A11" s="25" t="s">
        <v>44</v>
      </c>
      <c r="B11" s="24">
        <f>SUM(C11:G11)</f>
        <v>51</v>
      </c>
      <c r="C11" s="24">
        <v>2</v>
      </c>
      <c r="D11" s="24">
        <v>1</v>
      </c>
      <c r="E11" s="24">
        <v>2</v>
      </c>
      <c r="G11" s="24">
        <v>46</v>
      </c>
      <c r="J11" s="24">
        <v>10</v>
      </c>
      <c r="K11" s="11" t="s">
        <v>45</v>
      </c>
      <c r="L11">
        <v>3</v>
      </c>
    </row>
    <row r="12" spans="1:12" x14ac:dyDescent="0.35">
      <c r="A12" s="25" t="s">
        <v>46</v>
      </c>
      <c r="B12" s="24">
        <f>SUM(C12:G12)</f>
        <v>40</v>
      </c>
      <c r="C12" s="24">
        <v>5</v>
      </c>
      <c r="D12" s="24">
        <v>3</v>
      </c>
      <c r="E12" s="24">
        <v>7</v>
      </c>
      <c r="F12" s="24">
        <v>1</v>
      </c>
      <c r="G12" s="24">
        <v>24</v>
      </c>
      <c r="J12" s="24">
        <v>11</v>
      </c>
      <c r="K12" s="60" t="s">
        <v>47</v>
      </c>
      <c r="L12">
        <v>1</v>
      </c>
    </row>
    <row r="13" spans="1:12" x14ac:dyDescent="0.35">
      <c r="A13" s="25" t="s">
        <v>48</v>
      </c>
      <c r="B13" s="24">
        <f t="shared" ref="B13:B15" si="2">SUM(C13:G13)</f>
        <v>39</v>
      </c>
      <c r="C13" s="24">
        <v>11</v>
      </c>
      <c r="D13" s="24">
        <v>5</v>
      </c>
      <c r="E13" s="24">
        <v>2</v>
      </c>
      <c r="F13" s="24">
        <v>2</v>
      </c>
      <c r="G13" s="24">
        <v>19</v>
      </c>
      <c r="J13" s="24">
        <v>12</v>
      </c>
      <c r="K13" s="11" t="s">
        <v>49</v>
      </c>
      <c r="L13">
        <v>1</v>
      </c>
    </row>
    <row r="14" spans="1:12" x14ac:dyDescent="0.35">
      <c r="A14" s="25" t="s">
        <v>50</v>
      </c>
      <c r="B14" s="24">
        <f t="shared" si="2"/>
        <v>13</v>
      </c>
      <c r="D14" s="24">
        <v>5</v>
      </c>
      <c r="E14" s="24">
        <v>2</v>
      </c>
      <c r="G14" s="24">
        <v>6</v>
      </c>
      <c r="J14" s="24">
        <v>13</v>
      </c>
      <c r="K14" s="11" t="s">
        <v>51</v>
      </c>
      <c r="L14">
        <v>1</v>
      </c>
    </row>
    <row r="15" spans="1:12" x14ac:dyDescent="0.35">
      <c r="A15" s="25" t="s">
        <v>52</v>
      </c>
      <c r="B15" s="24">
        <f t="shared" si="2"/>
        <v>33</v>
      </c>
      <c r="D15" s="24">
        <v>3</v>
      </c>
      <c r="E15" s="24">
        <v>3</v>
      </c>
      <c r="G15" s="24">
        <v>27</v>
      </c>
      <c r="J15" s="24">
        <v>14</v>
      </c>
      <c r="K15" s="11" t="s">
        <v>53</v>
      </c>
      <c r="L15">
        <v>3</v>
      </c>
    </row>
    <row r="16" spans="1:12" x14ac:dyDescent="0.35">
      <c r="A16" s="25" t="s">
        <v>54</v>
      </c>
      <c r="B16" s="24">
        <f t="shared" ref="B16:B23" si="3">SUM(C16:G16)</f>
        <v>10</v>
      </c>
      <c r="C16" s="24">
        <v>2</v>
      </c>
      <c r="D16" s="24">
        <v>4</v>
      </c>
      <c r="F16" s="24">
        <v>1</v>
      </c>
      <c r="G16" s="24">
        <v>3</v>
      </c>
      <c r="J16" s="24">
        <v>15</v>
      </c>
      <c r="K16" s="11" t="s">
        <v>55</v>
      </c>
      <c r="L16">
        <v>1</v>
      </c>
    </row>
    <row r="17" spans="1:12" x14ac:dyDescent="0.35">
      <c r="A17" s="25" t="s">
        <v>56</v>
      </c>
      <c r="B17" s="24">
        <f t="shared" si="3"/>
        <v>12</v>
      </c>
      <c r="C17" s="24">
        <v>9</v>
      </c>
      <c r="G17" s="24">
        <v>3</v>
      </c>
      <c r="J17" s="24">
        <v>16</v>
      </c>
      <c r="K17" s="11" t="s">
        <v>57</v>
      </c>
      <c r="L17">
        <v>1</v>
      </c>
    </row>
    <row r="18" spans="1:12" x14ac:dyDescent="0.35">
      <c r="A18" s="25" t="s">
        <v>58</v>
      </c>
      <c r="B18" s="24">
        <f t="shared" si="3"/>
        <v>12</v>
      </c>
      <c r="C18" s="24">
        <v>4</v>
      </c>
      <c r="D18" s="24">
        <v>2</v>
      </c>
      <c r="E18" s="24">
        <v>2</v>
      </c>
      <c r="G18" s="24">
        <v>4</v>
      </c>
      <c r="J18" s="24">
        <v>17</v>
      </c>
      <c r="K18" s="11" t="s">
        <v>59</v>
      </c>
      <c r="L18">
        <v>2</v>
      </c>
    </row>
    <row r="19" spans="1:12" x14ac:dyDescent="0.35">
      <c r="A19" s="25" t="s">
        <v>60</v>
      </c>
      <c r="B19" s="24">
        <f t="shared" si="3"/>
        <v>6</v>
      </c>
      <c r="D19" s="24">
        <v>4</v>
      </c>
      <c r="E19" s="24">
        <v>1</v>
      </c>
      <c r="G19" s="24">
        <v>1</v>
      </c>
      <c r="J19" s="24">
        <v>18</v>
      </c>
      <c r="K19" s="11" t="s">
        <v>61</v>
      </c>
      <c r="L19">
        <v>1</v>
      </c>
    </row>
    <row r="20" spans="1:12" x14ac:dyDescent="0.35">
      <c r="A20" s="25" t="s">
        <v>62</v>
      </c>
      <c r="B20" s="24">
        <f t="shared" si="3"/>
        <v>1</v>
      </c>
      <c r="D20" s="24">
        <v>1</v>
      </c>
      <c r="J20" s="24">
        <v>19</v>
      </c>
      <c r="K20" s="11" t="s">
        <v>63</v>
      </c>
      <c r="L20">
        <v>1</v>
      </c>
    </row>
    <row r="21" spans="1:12" x14ac:dyDescent="0.35">
      <c r="A21" s="25" t="s">
        <v>64</v>
      </c>
      <c r="B21" s="24">
        <f t="shared" si="3"/>
        <v>1</v>
      </c>
      <c r="D21" s="24">
        <v>1</v>
      </c>
      <c r="J21" s="24">
        <v>20</v>
      </c>
      <c r="K21" s="11" t="s">
        <v>65</v>
      </c>
      <c r="L21">
        <v>1</v>
      </c>
    </row>
    <row r="22" spans="1:12" x14ac:dyDescent="0.35">
      <c r="A22" s="25" t="s">
        <v>66</v>
      </c>
      <c r="B22" s="24">
        <f t="shared" si="3"/>
        <v>5</v>
      </c>
      <c r="C22" s="24">
        <v>1</v>
      </c>
      <c r="G22" s="24">
        <v>4</v>
      </c>
      <c r="J22" s="24">
        <v>21</v>
      </c>
      <c r="K22" s="11" t="s">
        <v>67</v>
      </c>
      <c r="L22">
        <v>1</v>
      </c>
    </row>
    <row r="23" spans="1:12" x14ac:dyDescent="0.35">
      <c r="A23" s="25" t="s">
        <v>68</v>
      </c>
      <c r="B23" s="24">
        <f t="shared" si="3"/>
        <v>1</v>
      </c>
      <c r="D23" s="24">
        <v>1</v>
      </c>
      <c r="J23" s="24">
        <v>22</v>
      </c>
      <c r="K23" s="11" t="s">
        <v>69</v>
      </c>
      <c r="L23">
        <v>1</v>
      </c>
    </row>
    <row r="24" spans="1:12" x14ac:dyDescent="0.35">
      <c r="A24" s="25" t="s">
        <v>70</v>
      </c>
      <c r="B24" s="24">
        <f t="shared" ref="B24:B41" si="4">SUM(C24:G24)</f>
        <v>6</v>
      </c>
      <c r="C24" s="24">
        <v>2</v>
      </c>
      <c r="E24" s="24">
        <v>1</v>
      </c>
      <c r="F24" s="24">
        <v>1</v>
      </c>
      <c r="G24" s="24">
        <v>2</v>
      </c>
      <c r="J24" s="24">
        <v>23</v>
      </c>
      <c r="K24" s="11" t="s">
        <v>71</v>
      </c>
      <c r="L24">
        <v>2</v>
      </c>
    </row>
    <row r="25" spans="1:12" x14ac:dyDescent="0.35">
      <c r="A25" s="25" t="s">
        <v>72</v>
      </c>
      <c r="B25" s="24">
        <f t="shared" si="4"/>
        <v>3</v>
      </c>
      <c r="G25" s="24">
        <v>3</v>
      </c>
      <c r="J25" s="24">
        <v>24</v>
      </c>
      <c r="K25" s="11" t="s">
        <v>73</v>
      </c>
      <c r="L25">
        <v>1</v>
      </c>
    </row>
    <row r="26" spans="1:12" x14ac:dyDescent="0.35">
      <c r="A26" s="25" t="s">
        <v>74</v>
      </c>
      <c r="B26" s="24">
        <f t="shared" si="4"/>
        <v>11</v>
      </c>
      <c r="G26" s="24">
        <v>11</v>
      </c>
      <c r="J26" s="24">
        <v>25</v>
      </c>
      <c r="K26" s="11" t="s">
        <v>75</v>
      </c>
      <c r="L26">
        <v>1</v>
      </c>
    </row>
    <row r="27" spans="1:12" x14ac:dyDescent="0.35">
      <c r="A27" s="25" t="s">
        <v>76</v>
      </c>
      <c r="B27" s="24">
        <f t="shared" si="4"/>
        <v>7</v>
      </c>
      <c r="D27" s="24">
        <v>2</v>
      </c>
      <c r="G27" s="24">
        <v>5</v>
      </c>
      <c r="J27" s="24">
        <v>26</v>
      </c>
      <c r="K27" s="11" t="s">
        <v>77</v>
      </c>
      <c r="L27">
        <v>1</v>
      </c>
    </row>
    <row r="28" spans="1:12" x14ac:dyDescent="0.35">
      <c r="A28" s="25" t="s">
        <v>78</v>
      </c>
      <c r="B28" s="24">
        <f t="shared" si="4"/>
        <v>27</v>
      </c>
      <c r="D28" s="24">
        <v>2</v>
      </c>
      <c r="E28" s="24">
        <v>2</v>
      </c>
      <c r="G28" s="24">
        <v>23</v>
      </c>
      <c r="J28" s="24">
        <v>27</v>
      </c>
      <c r="K28" s="11" t="s">
        <v>79</v>
      </c>
      <c r="L28">
        <v>1</v>
      </c>
    </row>
    <row r="29" spans="1:12" x14ac:dyDescent="0.35">
      <c r="A29" s="25" t="s">
        <v>80</v>
      </c>
      <c r="B29" s="24">
        <f t="shared" si="4"/>
        <v>198</v>
      </c>
      <c r="D29" s="24">
        <v>3</v>
      </c>
      <c r="G29" s="24">
        <v>195</v>
      </c>
      <c r="J29" s="24">
        <v>28</v>
      </c>
      <c r="K29" s="11" t="s">
        <v>81</v>
      </c>
      <c r="L29">
        <v>1</v>
      </c>
    </row>
    <row r="30" spans="1:12" x14ac:dyDescent="0.35">
      <c r="A30" s="25" t="s">
        <v>82</v>
      </c>
      <c r="B30" s="24">
        <f t="shared" si="4"/>
        <v>1</v>
      </c>
      <c r="D30" s="24">
        <v>1</v>
      </c>
      <c r="J30" s="24">
        <v>29</v>
      </c>
      <c r="K30" s="11" t="s">
        <v>83</v>
      </c>
      <c r="L30">
        <v>1</v>
      </c>
    </row>
    <row r="31" spans="1:12" x14ac:dyDescent="0.35">
      <c r="A31" s="25" t="s">
        <v>84</v>
      </c>
      <c r="B31" s="24">
        <f t="shared" si="4"/>
        <v>2</v>
      </c>
      <c r="D31" s="24">
        <v>1</v>
      </c>
      <c r="G31" s="24">
        <v>1</v>
      </c>
      <c r="J31" s="24">
        <v>30</v>
      </c>
      <c r="K31" s="11" t="s">
        <v>85</v>
      </c>
      <c r="L31">
        <v>1</v>
      </c>
    </row>
    <row r="32" spans="1:12" x14ac:dyDescent="0.35">
      <c r="A32" s="25" t="s">
        <v>86</v>
      </c>
      <c r="B32" s="24">
        <f t="shared" si="4"/>
        <v>1</v>
      </c>
      <c r="C32" s="24">
        <v>1</v>
      </c>
      <c r="J32" s="24">
        <v>31</v>
      </c>
      <c r="K32" s="11" t="s">
        <v>87</v>
      </c>
      <c r="L32">
        <v>1</v>
      </c>
    </row>
    <row r="33" spans="1:12" x14ac:dyDescent="0.35">
      <c r="A33" s="25" t="s">
        <v>88</v>
      </c>
      <c r="B33" s="24">
        <f t="shared" si="4"/>
        <v>15</v>
      </c>
      <c r="C33" s="24">
        <v>5</v>
      </c>
      <c r="D33" s="24">
        <v>6</v>
      </c>
      <c r="F33" s="24">
        <v>2</v>
      </c>
      <c r="G33" s="24">
        <v>2</v>
      </c>
      <c r="J33" s="24">
        <v>32</v>
      </c>
      <c r="K33" s="11" t="s">
        <v>89</v>
      </c>
      <c r="L33">
        <v>1</v>
      </c>
    </row>
    <row r="34" spans="1:12" x14ac:dyDescent="0.35">
      <c r="A34" s="25" t="s">
        <v>90</v>
      </c>
      <c r="B34" s="24">
        <f t="shared" si="4"/>
        <v>1</v>
      </c>
      <c r="D34" s="24">
        <v>1</v>
      </c>
      <c r="J34" s="24">
        <v>33</v>
      </c>
      <c r="K34" s="11" t="s">
        <v>91</v>
      </c>
      <c r="L34">
        <v>1</v>
      </c>
    </row>
    <row r="35" spans="1:12" x14ac:dyDescent="0.35">
      <c r="A35" s="25" t="s">
        <v>92</v>
      </c>
      <c r="B35" s="24">
        <f t="shared" si="4"/>
        <v>1</v>
      </c>
      <c r="D35" s="24">
        <v>1</v>
      </c>
      <c r="J35" s="24">
        <v>34</v>
      </c>
      <c r="K35" s="11" t="s">
        <v>93</v>
      </c>
      <c r="L35">
        <v>1</v>
      </c>
    </row>
    <row r="36" spans="1:12" x14ac:dyDescent="0.35">
      <c r="A36" s="25" t="s">
        <v>94</v>
      </c>
      <c r="B36" s="24">
        <f t="shared" si="4"/>
        <v>3</v>
      </c>
      <c r="C36" s="24">
        <v>3</v>
      </c>
      <c r="J36" s="24">
        <v>35</v>
      </c>
      <c r="K36" s="11" t="s">
        <v>95</v>
      </c>
      <c r="L36">
        <v>2</v>
      </c>
    </row>
    <row r="37" spans="1:12" x14ac:dyDescent="0.35">
      <c r="A37" s="25" t="s">
        <v>96</v>
      </c>
      <c r="B37" s="24">
        <f t="shared" si="4"/>
        <v>1</v>
      </c>
      <c r="G37" s="24">
        <v>1</v>
      </c>
      <c r="J37" s="24">
        <v>36</v>
      </c>
      <c r="K37" s="11" t="s">
        <v>97</v>
      </c>
      <c r="L37">
        <v>1</v>
      </c>
    </row>
    <row r="38" spans="1:12" x14ac:dyDescent="0.35">
      <c r="A38" s="25" t="s">
        <v>98</v>
      </c>
      <c r="B38" s="24">
        <f t="shared" si="4"/>
        <v>1</v>
      </c>
      <c r="C38" s="24">
        <v>1</v>
      </c>
      <c r="J38" s="24">
        <v>37</v>
      </c>
      <c r="K38" s="11" t="s">
        <v>99</v>
      </c>
      <c r="L38">
        <v>1</v>
      </c>
    </row>
    <row r="39" spans="1:12" x14ac:dyDescent="0.35">
      <c r="A39" s="25" t="s">
        <v>100</v>
      </c>
      <c r="B39" s="24">
        <f t="shared" si="4"/>
        <v>1</v>
      </c>
      <c r="C39" s="24">
        <v>1</v>
      </c>
      <c r="J39" s="24">
        <v>38</v>
      </c>
      <c r="K39" s="11" t="s">
        <v>101</v>
      </c>
      <c r="L39">
        <v>1</v>
      </c>
    </row>
    <row r="40" spans="1:12" x14ac:dyDescent="0.35">
      <c r="A40" s="25" t="s">
        <v>102</v>
      </c>
      <c r="B40" s="24">
        <f t="shared" si="4"/>
        <v>1</v>
      </c>
      <c r="C40" s="24">
        <v>1</v>
      </c>
      <c r="J40" s="24">
        <v>39</v>
      </c>
      <c r="K40" s="11" t="s">
        <v>103</v>
      </c>
      <c r="L40">
        <v>2</v>
      </c>
    </row>
    <row r="41" spans="1:12" x14ac:dyDescent="0.35">
      <c r="A41" s="25" t="s">
        <v>104</v>
      </c>
      <c r="B41" s="24">
        <f t="shared" si="4"/>
        <v>1</v>
      </c>
      <c r="D41" s="24">
        <v>1</v>
      </c>
      <c r="J41" s="24">
        <v>40</v>
      </c>
      <c r="K41" s="11" t="s">
        <v>105</v>
      </c>
      <c r="L41">
        <v>1</v>
      </c>
    </row>
    <row r="42" spans="1:12" x14ac:dyDescent="0.35">
      <c r="J42" s="24">
        <v>41</v>
      </c>
      <c r="K42" s="83" t="s">
        <v>106</v>
      </c>
      <c r="L42">
        <v>1</v>
      </c>
    </row>
    <row r="43" spans="1:12" x14ac:dyDescent="0.35">
      <c r="A43" s="25" t="s">
        <v>17</v>
      </c>
      <c r="B43" s="24">
        <f>SUM(B2:B41)</f>
        <v>653</v>
      </c>
      <c r="C43" s="24">
        <f t="shared" ref="C43:G43" si="5">SUM(C2:C41)</f>
        <v>56</v>
      </c>
      <c r="D43" s="24">
        <f t="shared" si="5"/>
        <v>54</v>
      </c>
      <c r="E43" s="24">
        <f t="shared" si="5"/>
        <v>24</v>
      </c>
      <c r="F43" s="24">
        <f t="shared" si="5"/>
        <v>14</v>
      </c>
      <c r="G43" s="24">
        <f t="shared" si="5"/>
        <v>505</v>
      </c>
      <c r="J43" s="24">
        <v>42</v>
      </c>
      <c r="K43" s="81" t="s">
        <v>107</v>
      </c>
      <c r="L43">
        <v>1</v>
      </c>
    </row>
    <row r="44" spans="1:12" x14ac:dyDescent="0.35">
      <c r="G44" s="24">
        <v>72</v>
      </c>
      <c r="J44" s="24">
        <v>43</v>
      </c>
      <c r="K44" s="83" t="s">
        <v>108</v>
      </c>
      <c r="L44">
        <v>1</v>
      </c>
    </row>
    <row r="45" spans="1:12" x14ac:dyDescent="0.35">
      <c r="B45" s="24">
        <f>G44+B43</f>
        <v>725</v>
      </c>
      <c r="C45" s="24">
        <f>SUM(C43:C44)</f>
        <v>56</v>
      </c>
      <c r="D45" s="24">
        <f>SUM(D43:D44)</f>
        <v>54</v>
      </c>
      <c r="E45" s="24">
        <f>SUM(E43:E44)</f>
        <v>24</v>
      </c>
      <c r="F45" s="24">
        <f>SUM(F43:F44)</f>
        <v>14</v>
      </c>
      <c r="G45" s="24">
        <f>SUM(G43:G44)</f>
        <v>577</v>
      </c>
      <c r="J45" s="24">
        <v>44</v>
      </c>
      <c r="K45" s="83" t="s">
        <v>109</v>
      </c>
      <c r="L45">
        <v>1</v>
      </c>
    </row>
    <row r="46" spans="1:12" x14ac:dyDescent="0.35">
      <c r="J46" s="24">
        <v>45</v>
      </c>
      <c r="K46" s="83" t="s">
        <v>110</v>
      </c>
      <c r="L46">
        <v>1</v>
      </c>
    </row>
    <row r="47" spans="1:12" x14ac:dyDescent="0.35">
      <c r="J47" s="24">
        <v>46</v>
      </c>
      <c r="K47" s="107" t="s">
        <v>111</v>
      </c>
      <c r="L47">
        <v>1</v>
      </c>
    </row>
    <row r="51" spans="10:17" ht="15" thickBot="1" x14ac:dyDescent="0.4"/>
    <row r="52" spans="10:17" ht="15" thickBot="1" x14ac:dyDescent="0.4">
      <c r="J52" s="68" t="s">
        <v>112</v>
      </c>
      <c r="K52" s="69" t="s">
        <v>113</v>
      </c>
      <c r="L52" s="69" t="s">
        <v>114</v>
      </c>
      <c r="M52" s="69" t="s">
        <v>115</v>
      </c>
      <c r="N52" s="69" t="s">
        <v>116</v>
      </c>
      <c r="O52" s="69" t="s">
        <v>117</v>
      </c>
      <c r="P52" s="69" t="s">
        <v>118</v>
      </c>
      <c r="Q52" s="70" t="s">
        <v>17</v>
      </c>
    </row>
    <row r="53" spans="10:17" x14ac:dyDescent="0.35">
      <c r="J53" s="71">
        <v>1</v>
      </c>
      <c r="K53" s="72">
        <v>45</v>
      </c>
      <c r="L53" s="72">
        <v>58</v>
      </c>
      <c r="M53" s="72" t="s">
        <v>119</v>
      </c>
      <c r="N53" s="72" t="s">
        <v>120</v>
      </c>
      <c r="O53" s="72">
        <v>30</v>
      </c>
      <c r="P53" s="72">
        <v>74</v>
      </c>
      <c r="Q53" s="73">
        <f>P53+O53</f>
        <v>104</v>
      </c>
    </row>
    <row r="54" spans="10:17" x14ac:dyDescent="0.35">
      <c r="J54" s="74">
        <v>2</v>
      </c>
      <c r="K54" s="75">
        <v>9</v>
      </c>
      <c r="L54" s="75">
        <v>9</v>
      </c>
      <c r="M54" s="75" t="s">
        <v>119</v>
      </c>
      <c r="N54" s="75" t="s">
        <v>121</v>
      </c>
      <c r="O54" s="75"/>
      <c r="P54" s="75"/>
      <c r="Q54" s="76"/>
    </row>
    <row r="55" spans="10:17" ht="15" thickBot="1" x14ac:dyDescent="0.4">
      <c r="J55" s="77">
        <v>3</v>
      </c>
      <c r="K55" s="78">
        <v>7</v>
      </c>
      <c r="L55" s="78">
        <v>7</v>
      </c>
      <c r="M55" s="78" t="s">
        <v>122</v>
      </c>
      <c r="N55" s="78" t="s">
        <v>120</v>
      </c>
      <c r="O55" s="78">
        <v>3</v>
      </c>
      <c r="P55" s="78">
        <v>26</v>
      </c>
      <c r="Q55" s="79">
        <f>P55+O55</f>
        <v>29</v>
      </c>
    </row>
    <row r="56" spans="10:17" ht="15" thickBot="1" x14ac:dyDescent="0.4">
      <c r="J56" s="68" t="s">
        <v>17</v>
      </c>
      <c r="K56" s="69">
        <f>SUM(K53:K55)</f>
        <v>61</v>
      </c>
      <c r="L56" s="69">
        <f>SUM(L53:L55)</f>
        <v>74</v>
      </c>
      <c r="M56" s="69"/>
      <c r="N56" s="69"/>
      <c r="O56" s="69">
        <f>O55+O54+O53</f>
        <v>33</v>
      </c>
      <c r="P56" s="69">
        <f>P55+P54+P53</f>
        <v>100</v>
      </c>
      <c r="Q56" s="70">
        <f>Q55+Q54+Q53</f>
        <v>133</v>
      </c>
    </row>
    <row r="57" spans="10:17" x14ac:dyDescent="0.35">
      <c r="K57" s="11"/>
    </row>
  </sheetData>
  <sortState xmlns:xlrd2="http://schemas.microsoft.com/office/spreadsheetml/2017/richdata2" ref="K2:K53">
    <sortCondition ref="K2:K5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7045C-A8A1-4D2A-B84D-E2F441806E2E}">
  <dimension ref="A1:G50"/>
  <sheetViews>
    <sheetView showGridLines="0" topLeftCell="A37" workbookViewId="0">
      <selection activeCell="J47" sqref="J47"/>
    </sheetView>
  </sheetViews>
  <sheetFormatPr defaultRowHeight="14.5" x14ac:dyDescent="0.35"/>
  <cols>
    <col min="1" max="1" width="25.54296875" bestFit="1" customWidth="1"/>
    <col min="2" max="6" width="8.81640625" style="14"/>
    <col min="7" max="7" width="12.453125" customWidth="1"/>
  </cols>
  <sheetData>
    <row r="1" spans="1:7" x14ac:dyDescent="0.35">
      <c r="A1" s="27" t="s">
        <v>123</v>
      </c>
      <c r="B1" s="27" t="s">
        <v>124</v>
      </c>
      <c r="C1" s="27" t="s">
        <v>125</v>
      </c>
      <c r="D1" s="27" t="s">
        <v>126</v>
      </c>
      <c r="E1" s="27" t="s">
        <v>127</v>
      </c>
      <c r="F1" s="27" t="s">
        <v>128</v>
      </c>
      <c r="G1" s="27" t="s">
        <v>129</v>
      </c>
    </row>
    <row r="2" spans="1:7" x14ac:dyDescent="0.35">
      <c r="A2" s="63" t="s">
        <v>130</v>
      </c>
      <c r="B2" s="29">
        <v>1</v>
      </c>
      <c r="C2" s="29"/>
      <c r="D2" s="29"/>
      <c r="E2" s="29"/>
      <c r="F2" s="29"/>
      <c r="G2" s="66">
        <v>45811</v>
      </c>
    </row>
    <row r="3" spans="1:7" x14ac:dyDescent="0.35">
      <c r="A3" s="63" t="s">
        <v>131</v>
      </c>
      <c r="B3" s="29"/>
      <c r="C3" s="29"/>
      <c r="D3" s="29">
        <v>1</v>
      </c>
      <c r="E3" s="29"/>
      <c r="F3" s="29"/>
      <c r="G3" s="66">
        <v>45813</v>
      </c>
    </row>
    <row r="4" spans="1:7" x14ac:dyDescent="0.35">
      <c r="A4" s="63" t="s">
        <v>84</v>
      </c>
      <c r="B4" s="29">
        <v>1</v>
      </c>
      <c r="C4" s="29"/>
      <c r="D4" s="29"/>
      <c r="E4" s="29"/>
      <c r="F4" s="29"/>
      <c r="G4" s="66">
        <v>45814</v>
      </c>
    </row>
    <row r="5" spans="1:7" x14ac:dyDescent="0.35">
      <c r="A5" s="63" t="s">
        <v>132</v>
      </c>
      <c r="B5" s="29">
        <v>1</v>
      </c>
      <c r="C5" s="29"/>
      <c r="D5" s="29"/>
      <c r="E5" s="29"/>
      <c r="F5" s="29"/>
      <c r="G5" s="66">
        <v>45817</v>
      </c>
    </row>
    <row r="6" spans="1:7" x14ac:dyDescent="0.35">
      <c r="A6" s="63" t="s">
        <v>26</v>
      </c>
      <c r="B6" s="29">
        <v>2</v>
      </c>
      <c r="C6" s="29"/>
      <c r="D6" s="29"/>
      <c r="E6" s="29"/>
      <c r="F6" s="29"/>
      <c r="G6" s="66">
        <v>45817</v>
      </c>
    </row>
    <row r="7" spans="1:7" x14ac:dyDescent="0.35">
      <c r="A7" s="63" t="s">
        <v>88</v>
      </c>
      <c r="B7" s="29">
        <v>2</v>
      </c>
      <c r="C7" s="29"/>
      <c r="D7" s="29"/>
      <c r="E7" s="29"/>
      <c r="F7" s="29"/>
      <c r="G7" s="66">
        <v>45819</v>
      </c>
    </row>
    <row r="8" spans="1:7" x14ac:dyDescent="0.35">
      <c r="A8" s="63" t="s">
        <v>133</v>
      </c>
      <c r="B8" s="29"/>
      <c r="C8" s="29"/>
      <c r="D8" s="29">
        <v>1</v>
      </c>
      <c r="E8" s="29"/>
      <c r="F8" s="29"/>
      <c r="G8" s="66">
        <v>45819</v>
      </c>
    </row>
    <row r="9" spans="1:7" x14ac:dyDescent="0.35">
      <c r="A9" s="63" t="s">
        <v>134</v>
      </c>
      <c r="B9" s="29">
        <v>2</v>
      </c>
      <c r="C9" s="29">
        <v>1</v>
      </c>
      <c r="D9" s="29">
        <v>1</v>
      </c>
      <c r="E9" s="29">
        <v>1</v>
      </c>
      <c r="F9" s="29"/>
      <c r="G9" s="66">
        <v>45825</v>
      </c>
    </row>
    <row r="10" spans="1:7" x14ac:dyDescent="0.35">
      <c r="A10" s="63" t="s">
        <v>133</v>
      </c>
      <c r="B10" s="29">
        <v>1</v>
      </c>
      <c r="C10" s="29"/>
      <c r="D10" s="29"/>
      <c r="E10" s="29"/>
      <c r="F10" s="29"/>
      <c r="G10" s="66">
        <v>45831</v>
      </c>
    </row>
    <row r="11" spans="1:7" x14ac:dyDescent="0.35">
      <c r="A11" s="63" t="s">
        <v>135</v>
      </c>
      <c r="B11" s="29">
        <v>1</v>
      </c>
      <c r="C11" s="29"/>
      <c r="D11" s="29"/>
      <c r="E11" s="29"/>
      <c r="F11" s="29"/>
      <c r="G11" s="66">
        <v>45839</v>
      </c>
    </row>
    <row r="12" spans="1:7" x14ac:dyDescent="0.35">
      <c r="A12" s="63" t="s">
        <v>88</v>
      </c>
      <c r="B12" s="29">
        <v>1</v>
      </c>
      <c r="C12" s="29"/>
      <c r="D12" s="29"/>
      <c r="E12" s="29"/>
      <c r="F12" s="29"/>
      <c r="G12" s="66">
        <v>45839</v>
      </c>
    </row>
    <row r="13" spans="1:7" x14ac:dyDescent="0.35">
      <c r="A13" s="63" t="s">
        <v>92</v>
      </c>
      <c r="B13" s="29"/>
      <c r="C13" s="29"/>
      <c r="D13" s="29">
        <v>1</v>
      </c>
      <c r="E13" s="29"/>
      <c r="F13" s="29"/>
      <c r="G13" s="66">
        <v>45841</v>
      </c>
    </row>
    <row r="14" spans="1:7" x14ac:dyDescent="0.35">
      <c r="A14" s="63" t="s">
        <v>136</v>
      </c>
      <c r="B14" s="29">
        <v>1</v>
      </c>
      <c r="C14" s="29"/>
      <c r="D14" s="29"/>
      <c r="E14" s="29"/>
      <c r="F14" s="29"/>
      <c r="G14" s="66">
        <v>45841</v>
      </c>
    </row>
    <row r="15" spans="1:7" x14ac:dyDescent="0.35">
      <c r="A15" s="63" t="s">
        <v>88</v>
      </c>
      <c r="B15" s="29">
        <v>1</v>
      </c>
      <c r="C15" s="29"/>
      <c r="D15" s="29"/>
      <c r="E15" s="29"/>
      <c r="F15" s="29"/>
      <c r="G15" s="66">
        <v>45846</v>
      </c>
    </row>
    <row r="16" spans="1:7" x14ac:dyDescent="0.35">
      <c r="A16" s="63" t="s">
        <v>60</v>
      </c>
      <c r="B16" s="29">
        <v>1</v>
      </c>
      <c r="C16" s="29"/>
      <c r="D16" s="29"/>
      <c r="E16" s="29"/>
      <c r="F16" s="29"/>
      <c r="G16" s="66">
        <v>45848</v>
      </c>
    </row>
    <row r="17" spans="1:7" x14ac:dyDescent="0.35">
      <c r="A17" s="63" t="s">
        <v>66</v>
      </c>
      <c r="B17" s="29">
        <v>1</v>
      </c>
      <c r="C17" s="29"/>
      <c r="D17" s="29"/>
      <c r="E17" s="29"/>
      <c r="F17" s="29"/>
      <c r="G17" s="66">
        <v>45848</v>
      </c>
    </row>
    <row r="18" spans="1:7" x14ac:dyDescent="0.35">
      <c r="A18" s="63" t="s">
        <v>137</v>
      </c>
      <c r="B18" s="29">
        <v>1</v>
      </c>
      <c r="C18" s="29">
        <v>1</v>
      </c>
      <c r="D18" s="29">
        <v>1</v>
      </c>
      <c r="E18" s="29"/>
      <c r="F18" s="29"/>
      <c r="G18" s="66">
        <v>45853</v>
      </c>
    </row>
    <row r="19" spans="1:7" x14ac:dyDescent="0.35">
      <c r="A19" s="63" t="s">
        <v>138</v>
      </c>
      <c r="B19" s="29">
        <v>2</v>
      </c>
      <c r="C19" s="29"/>
      <c r="D19" s="29"/>
      <c r="E19" s="29"/>
      <c r="F19" s="29"/>
      <c r="G19" s="66">
        <v>45853</v>
      </c>
    </row>
    <row r="20" spans="1:7" x14ac:dyDescent="0.35">
      <c r="A20" s="63" t="s">
        <v>92</v>
      </c>
      <c r="B20" s="29">
        <v>1</v>
      </c>
      <c r="C20" s="29"/>
      <c r="D20" s="29"/>
      <c r="E20" s="29"/>
      <c r="F20" s="29"/>
      <c r="G20" s="66">
        <v>45855</v>
      </c>
    </row>
    <row r="21" spans="1:7" x14ac:dyDescent="0.35">
      <c r="A21" s="63" t="s">
        <v>88</v>
      </c>
      <c r="B21" s="29">
        <v>1</v>
      </c>
      <c r="C21" s="29"/>
      <c r="D21" s="29"/>
      <c r="E21" s="29">
        <v>1</v>
      </c>
      <c r="F21" s="29"/>
      <c r="G21" s="66">
        <v>45856</v>
      </c>
    </row>
    <row r="22" spans="1:7" x14ac:dyDescent="0.35">
      <c r="A22" s="80" t="s">
        <v>139</v>
      </c>
      <c r="B22" s="29">
        <v>1</v>
      </c>
      <c r="C22" s="29"/>
      <c r="D22" s="29">
        <v>1</v>
      </c>
      <c r="E22" s="29"/>
      <c r="F22" s="29"/>
      <c r="G22" s="66">
        <v>45867</v>
      </c>
    </row>
    <row r="23" spans="1:7" x14ac:dyDescent="0.35">
      <c r="A23" s="80" t="s">
        <v>82</v>
      </c>
      <c r="B23" s="29">
        <v>1</v>
      </c>
      <c r="C23" s="29"/>
      <c r="D23" s="29"/>
      <c r="E23" s="29"/>
      <c r="F23" s="29"/>
      <c r="G23" s="66">
        <v>45867</v>
      </c>
    </row>
    <row r="24" spans="1:7" x14ac:dyDescent="0.35">
      <c r="A24" s="80" t="s">
        <v>52</v>
      </c>
      <c r="B24" s="29">
        <v>1</v>
      </c>
      <c r="C24" s="29"/>
      <c r="D24" s="29"/>
      <c r="E24" s="29"/>
      <c r="F24" s="29"/>
      <c r="G24" s="66">
        <v>45876</v>
      </c>
    </row>
    <row r="25" spans="1:7" x14ac:dyDescent="0.35">
      <c r="A25" s="80" t="s">
        <v>140</v>
      </c>
      <c r="B25" s="29">
        <v>1</v>
      </c>
      <c r="C25" s="29"/>
      <c r="D25" s="29"/>
      <c r="E25" s="29"/>
      <c r="F25" s="29"/>
      <c r="G25" s="66">
        <v>45883</v>
      </c>
    </row>
    <row r="26" spans="1:7" x14ac:dyDescent="0.35">
      <c r="A26" s="80" t="s">
        <v>141</v>
      </c>
      <c r="B26" s="29">
        <v>1</v>
      </c>
      <c r="C26" s="29"/>
      <c r="D26" s="29"/>
      <c r="E26" s="29"/>
      <c r="F26" s="29"/>
      <c r="G26" s="66">
        <v>45883</v>
      </c>
    </row>
    <row r="27" spans="1:7" x14ac:dyDescent="0.35">
      <c r="A27" s="80" t="s">
        <v>142</v>
      </c>
      <c r="B27" s="29">
        <v>1</v>
      </c>
      <c r="C27" s="29"/>
      <c r="D27" s="29"/>
      <c r="E27" s="29"/>
      <c r="F27" s="29"/>
      <c r="G27" s="66">
        <v>45883</v>
      </c>
    </row>
    <row r="28" spans="1:7" x14ac:dyDescent="0.35">
      <c r="A28" s="80" t="s">
        <v>52</v>
      </c>
      <c r="B28" s="29">
        <v>1</v>
      </c>
      <c r="C28" s="29"/>
      <c r="D28" s="29"/>
      <c r="E28" s="29"/>
      <c r="F28" s="29"/>
      <c r="G28" s="66">
        <v>45888</v>
      </c>
    </row>
    <row r="29" spans="1:7" x14ac:dyDescent="0.35">
      <c r="A29" s="80" t="s">
        <v>80</v>
      </c>
      <c r="B29" s="29">
        <v>1</v>
      </c>
      <c r="C29" s="29"/>
      <c r="D29" s="29"/>
      <c r="E29" s="29"/>
      <c r="F29" s="29"/>
      <c r="G29" s="66">
        <v>45889</v>
      </c>
    </row>
    <row r="30" spans="1:7" x14ac:dyDescent="0.35">
      <c r="A30" s="80" t="s">
        <v>143</v>
      </c>
      <c r="B30" s="29">
        <v>1</v>
      </c>
      <c r="C30" s="29"/>
      <c r="D30" s="29"/>
      <c r="E30" s="29"/>
      <c r="F30" s="29"/>
      <c r="G30" s="66">
        <v>45889</v>
      </c>
    </row>
    <row r="31" spans="1:7" x14ac:dyDescent="0.35">
      <c r="A31" s="80" t="s">
        <v>140</v>
      </c>
      <c r="B31" s="29">
        <v>1</v>
      </c>
      <c r="C31" s="29"/>
      <c r="D31" s="29"/>
      <c r="E31" s="29"/>
      <c r="F31" s="29"/>
      <c r="G31" s="66">
        <v>45890</v>
      </c>
    </row>
    <row r="32" spans="1:7" x14ac:dyDescent="0.35">
      <c r="A32" s="80" t="s">
        <v>86</v>
      </c>
      <c r="B32" s="29">
        <v>1</v>
      </c>
      <c r="C32" s="29"/>
      <c r="D32" s="29"/>
      <c r="E32" s="29"/>
      <c r="F32" s="29"/>
      <c r="G32" s="66">
        <v>45894</v>
      </c>
    </row>
    <row r="33" spans="1:7" x14ac:dyDescent="0.35">
      <c r="A33" s="80" t="s">
        <v>144</v>
      </c>
      <c r="B33" s="29"/>
      <c r="C33" s="29"/>
      <c r="D33" s="29">
        <v>1</v>
      </c>
      <c r="E33" s="29"/>
      <c r="F33" s="29">
        <v>1</v>
      </c>
      <c r="G33" s="66">
        <v>45895</v>
      </c>
    </row>
    <row r="34" spans="1:7" x14ac:dyDescent="0.35">
      <c r="A34" s="80" t="s">
        <v>145</v>
      </c>
      <c r="B34" s="29">
        <v>1</v>
      </c>
      <c r="C34" s="29"/>
      <c r="D34" s="29"/>
      <c r="E34" s="29"/>
      <c r="F34" s="29"/>
      <c r="G34" s="66">
        <v>45910</v>
      </c>
    </row>
    <row r="35" spans="1:7" x14ac:dyDescent="0.35">
      <c r="A35" s="80" t="s">
        <v>146</v>
      </c>
      <c r="B35" s="29">
        <v>3</v>
      </c>
      <c r="C35" s="29"/>
      <c r="D35" s="29"/>
      <c r="E35" s="29"/>
      <c r="F35" s="29"/>
      <c r="G35" s="66">
        <v>45912</v>
      </c>
    </row>
    <row r="36" spans="1:7" x14ac:dyDescent="0.35">
      <c r="A36" s="80" t="s">
        <v>104</v>
      </c>
      <c r="B36" s="29">
        <v>1</v>
      </c>
      <c r="C36" s="29"/>
      <c r="D36" s="29"/>
      <c r="E36" s="29"/>
      <c r="F36" s="29"/>
      <c r="G36" s="66">
        <v>45916</v>
      </c>
    </row>
    <row r="37" spans="1:7" x14ac:dyDescent="0.35">
      <c r="A37" s="80" t="s">
        <v>147</v>
      </c>
      <c r="B37" s="29">
        <v>1</v>
      </c>
      <c r="C37" s="29"/>
      <c r="D37" s="29"/>
      <c r="E37" s="29"/>
      <c r="F37" s="29"/>
      <c r="G37" s="66">
        <v>45925</v>
      </c>
    </row>
    <row r="38" spans="1:7" x14ac:dyDescent="0.35">
      <c r="A38" s="80" t="s">
        <v>148</v>
      </c>
      <c r="B38" s="29">
        <v>1</v>
      </c>
      <c r="C38" s="29"/>
      <c r="D38" s="29">
        <v>1</v>
      </c>
      <c r="E38" s="29"/>
      <c r="F38" s="29"/>
      <c r="G38" s="66">
        <v>45936</v>
      </c>
    </row>
    <row r="39" spans="1:7" x14ac:dyDescent="0.35">
      <c r="A39" s="80" t="s">
        <v>149</v>
      </c>
      <c r="B39" s="29">
        <v>1</v>
      </c>
      <c r="C39" s="29"/>
      <c r="D39" s="29"/>
      <c r="E39" s="29"/>
      <c r="F39" s="29"/>
      <c r="G39" s="66">
        <v>45946</v>
      </c>
    </row>
    <row r="40" spans="1:7" x14ac:dyDescent="0.35">
      <c r="A40" s="80" t="s">
        <v>150</v>
      </c>
      <c r="B40" s="29">
        <v>1</v>
      </c>
      <c r="C40" s="29"/>
      <c r="D40" s="29">
        <v>1</v>
      </c>
      <c r="E40" s="29"/>
      <c r="F40" s="29"/>
      <c r="G40" s="66">
        <v>45947</v>
      </c>
    </row>
    <row r="41" spans="1:7" x14ac:dyDescent="0.35">
      <c r="A41" s="80" t="s">
        <v>151</v>
      </c>
      <c r="B41" s="29">
        <v>1</v>
      </c>
      <c r="C41" s="29"/>
      <c r="D41" s="29"/>
      <c r="E41" s="29"/>
      <c r="F41" s="29"/>
      <c r="G41" s="66">
        <v>45961</v>
      </c>
    </row>
    <row r="42" spans="1:7" x14ac:dyDescent="0.35">
      <c r="A42" s="80" t="s">
        <v>152</v>
      </c>
      <c r="B42" s="29"/>
      <c r="C42" s="29"/>
      <c r="D42" s="29">
        <v>1</v>
      </c>
      <c r="E42" s="29"/>
      <c r="F42" s="29"/>
      <c r="G42" s="66">
        <v>45965</v>
      </c>
    </row>
    <row r="43" spans="1:7" x14ac:dyDescent="0.35">
      <c r="A43" s="80" t="s">
        <v>153</v>
      </c>
      <c r="B43" s="29">
        <v>1</v>
      </c>
      <c r="C43" s="29"/>
      <c r="D43" s="29">
        <v>1</v>
      </c>
      <c r="E43" s="29"/>
      <c r="F43" s="29"/>
      <c r="G43" s="66">
        <v>45966</v>
      </c>
    </row>
    <row r="44" spans="1:7" x14ac:dyDescent="0.35">
      <c r="A44" s="80" t="s">
        <v>154</v>
      </c>
      <c r="B44" s="29">
        <v>1</v>
      </c>
      <c r="C44" s="29"/>
      <c r="D44" s="29"/>
      <c r="E44" s="29"/>
      <c r="F44" s="29"/>
      <c r="G44" s="66">
        <v>45974</v>
      </c>
    </row>
    <row r="45" spans="1:7" x14ac:dyDescent="0.35">
      <c r="A45" s="80" t="s">
        <v>149</v>
      </c>
      <c r="B45" s="29">
        <v>1</v>
      </c>
      <c r="C45" s="29"/>
      <c r="D45" s="29"/>
      <c r="E45" s="29"/>
      <c r="F45" s="29"/>
      <c r="G45" s="66">
        <v>45975</v>
      </c>
    </row>
    <row r="46" spans="1:7" x14ac:dyDescent="0.35">
      <c r="A46" s="80" t="s">
        <v>148</v>
      </c>
      <c r="B46" s="29">
        <v>1</v>
      </c>
      <c r="C46" s="29"/>
      <c r="D46" s="29">
        <v>1</v>
      </c>
      <c r="E46" s="29"/>
      <c r="F46" s="29"/>
      <c r="G46" s="66">
        <v>45979</v>
      </c>
    </row>
    <row r="47" spans="1:7" x14ac:dyDescent="0.35">
      <c r="A47" s="80" t="s">
        <v>155</v>
      </c>
      <c r="B47" s="29">
        <v>1</v>
      </c>
      <c r="C47" s="29"/>
      <c r="D47" s="29"/>
      <c r="E47" s="29"/>
      <c r="F47" s="29"/>
      <c r="G47" s="66">
        <v>45979</v>
      </c>
    </row>
    <row r="48" spans="1:7" x14ac:dyDescent="0.35">
      <c r="A48" s="80" t="s">
        <v>522</v>
      </c>
      <c r="B48" s="29"/>
      <c r="C48" s="29"/>
      <c r="D48" s="29">
        <v>1</v>
      </c>
      <c r="E48" s="29"/>
      <c r="F48" s="29"/>
      <c r="G48" s="66">
        <v>45979</v>
      </c>
    </row>
    <row r="49" spans="1:7" x14ac:dyDescent="0.35">
      <c r="A49" s="80" t="s">
        <v>522</v>
      </c>
      <c r="B49" s="29">
        <v>1</v>
      </c>
      <c r="C49" s="29">
        <v>1</v>
      </c>
      <c r="D49" s="29"/>
      <c r="E49" s="29"/>
      <c r="F49" s="29"/>
      <c r="G49" s="66">
        <v>46015</v>
      </c>
    </row>
    <row r="50" spans="1:7" ht="14.15" customHeight="1" x14ac:dyDescent="0.35">
      <c r="A50" s="30" t="s">
        <v>17</v>
      </c>
      <c r="B50" s="31">
        <f>SUM(B2:B49)</f>
        <v>48</v>
      </c>
      <c r="C50" s="31">
        <f t="shared" ref="C50:F50" si="0">SUM(C2:C43)</f>
        <v>2</v>
      </c>
      <c r="D50" s="31">
        <f t="shared" si="0"/>
        <v>11</v>
      </c>
      <c r="E50" s="31">
        <f t="shared" si="0"/>
        <v>2</v>
      </c>
      <c r="F50" s="31">
        <f t="shared" si="0"/>
        <v>1</v>
      </c>
      <c r="G50" s="31"/>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D8624-026E-4ACD-847C-5B80C1459C11}">
  <dimension ref="E3:J21"/>
  <sheetViews>
    <sheetView showGridLines="0" topLeftCell="D1" workbookViewId="0">
      <selection activeCell="G3" sqref="G3:I10"/>
    </sheetView>
  </sheetViews>
  <sheetFormatPr defaultRowHeight="14.5" x14ac:dyDescent="0.35"/>
  <cols>
    <col min="6" max="6" width="10.81640625" bestFit="1" customWidth="1"/>
    <col min="7" max="7" width="11" bestFit="1" customWidth="1"/>
    <col min="8" max="9" width="10.81640625" bestFit="1" customWidth="1"/>
  </cols>
  <sheetData>
    <row r="3" spans="5:10" x14ac:dyDescent="0.35">
      <c r="E3" s="67" t="s">
        <v>118</v>
      </c>
      <c r="F3" s="23" t="s">
        <v>156</v>
      </c>
      <c r="G3" s="23" t="s">
        <v>157</v>
      </c>
      <c r="H3" s="23" t="s">
        <v>158</v>
      </c>
      <c r="I3" s="23" t="s">
        <v>159</v>
      </c>
    </row>
    <row r="4" spans="5:10" x14ac:dyDescent="0.35">
      <c r="E4" s="23" t="s">
        <v>160</v>
      </c>
      <c r="F4" s="19">
        <v>0.8</v>
      </c>
      <c r="G4" s="19">
        <v>0.81</v>
      </c>
      <c r="H4" s="19">
        <v>0.75</v>
      </c>
      <c r="I4" s="19">
        <v>0.82</v>
      </c>
    </row>
    <row r="5" spans="5:10" x14ac:dyDescent="0.35">
      <c r="E5" s="23" t="s">
        <v>161</v>
      </c>
      <c r="F5" s="19">
        <v>0.2</v>
      </c>
      <c r="G5" s="19">
        <v>0.19</v>
      </c>
      <c r="H5" s="19">
        <v>0.25</v>
      </c>
      <c r="I5" s="19">
        <v>0.18</v>
      </c>
    </row>
    <row r="8" spans="5:10" x14ac:dyDescent="0.35">
      <c r="E8" s="67" t="s">
        <v>162</v>
      </c>
      <c r="F8" s="23" t="s">
        <v>156</v>
      </c>
      <c r="G8" s="23" t="s">
        <v>157</v>
      </c>
      <c r="H8" s="23" t="s">
        <v>158</v>
      </c>
      <c r="I8" s="23" t="s">
        <v>159</v>
      </c>
    </row>
    <row r="9" spans="5:10" x14ac:dyDescent="0.35">
      <c r="E9" s="23" t="s">
        <v>160</v>
      </c>
      <c r="F9" s="19">
        <v>0.68</v>
      </c>
      <c r="G9" s="19">
        <v>0.71</v>
      </c>
      <c r="H9" s="19">
        <v>0.38</v>
      </c>
      <c r="I9" s="19">
        <v>0.64</v>
      </c>
    </row>
    <row r="10" spans="5:10" x14ac:dyDescent="0.35">
      <c r="E10" s="23" t="s">
        <v>161</v>
      </c>
      <c r="F10" s="19">
        <v>0.32</v>
      </c>
      <c r="G10" s="19">
        <v>0.28999999999999998</v>
      </c>
      <c r="H10" s="19">
        <v>0.62</v>
      </c>
      <c r="I10" s="19">
        <v>0.36</v>
      </c>
      <c r="J10" s="1"/>
    </row>
    <row r="15" spans="5:10" x14ac:dyDescent="0.35">
      <c r="E15" s="54" t="s">
        <v>118</v>
      </c>
      <c r="F15" s="54" t="s">
        <v>163</v>
      </c>
      <c r="G15" s="55" t="s">
        <v>164</v>
      </c>
      <c r="H15" s="54" t="s">
        <v>165</v>
      </c>
      <c r="I15" s="54"/>
    </row>
    <row r="16" spans="5:10" x14ac:dyDescent="0.35">
      <c r="E16" s="23" t="s">
        <v>160</v>
      </c>
      <c r="F16" s="19">
        <v>0.79</v>
      </c>
      <c r="G16" s="19">
        <v>0.87</v>
      </c>
      <c r="H16" s="19">
        <v>0.76</v>
      </c>
      <c r="I16" s="19"/>
    </row>
    <row r="17" spans="5:9" x14ac:dyDescent="0.35">
      <c r="E17" s="23" t="s">
        <v>161</v>
      </c>
      <c r="F17" s="19">
        <v>0.21</v>
      </c>
      <c r="G17" s="19">
        <v>0.13</v>
      </c>
      <c r="H17" s="19">
        <v>0.24</v>
      </c>
      <c r="I17" s="19"/>
    </row>
    <row r="19" spans="5:9" x14ac:dyDescent="0.35">
      <c r="E19" s="56" t="s">
        <v>162</v>
      </c>
      <c r="F19" s="56" t="s">
        <v>163</v>
      </c>
      <c r="G19" s="56" t="s">
        <v>164</v>
      </c>
      <c r="H19" s="56" t="s">
        <v>165</v>
      </c>
      <c r="I19" s="56"/>
    </row>
    <row r="20" spans="5:9" x14ac:dyDescent="0.35">
      <c r="E20" s="23" t="s">
        <v>160</v>
      </c>
      <c r="F20" s="19">
        <v>0.7</v>
      </c>
      <c r="G20" s="19">
        <v>0.72</v>
      </c>
      <c r="H20" s="19">
        <v>0.71</v>
      </c>
      <c r="I20" s="19"/>
    </row>
    <row r="21" spans="5:9" x14ac:dyDescent="0.35">
      <c r="E21" s="23" t="s">
        <v>161</v>
      </c>
      <c r="F21" s="19">
        <v>0.3</v>
      </c>
      <c r="G21" s="19">
        <v>0.28000000000000003</v>
      </c>
      <c r="H21" s="19">
        <v>0.28999999999999998</v>
      </c>
      <c r="I21" s="1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203F4-C442-47ED-A584-EA2C467FFA46}">
  <dimension ref="H1:AF54"/>
  <sheetViews>
    <sheetView showGridLines="0" topLeftCell="T47" workbookViewId="0">
      <selection activeCell="AE54" sqref="V47:AE54"/>
    </sheetView>
  </sheetViews>
  <sheetFormatPr defaultRowHeight="14.5" x14ac:dyDescent="0.35"/>
  <cols>
    <col min="1" max="1" width="8.7265625" style="24"/>
    <col min="2" max="2" width="23.81640625" style="24" customWidth="1"/>
    <col min="3" max="7" width="8.7265625" style="24"/>
    <col min="8" max="8" width="17.81640625" style="24" customWidth="1"/>
    <col min="9" max="9" width="8.7265625" style="24"/>
    <col min="10" max="10" width="11.36328125" style="24" customWidth="1"/>
    <col min="11" max="11" width="8.7265625" style="24"/>
    <col min="12" max="12" width="12.54296875" style="24" customWidth="1"/>
    <col min="13" max="13" width="8.7265625" style="24"/>
    <col min="14" max="14" width="10.36328125" style="24" customWidth="1"/>
    <col min="15" max="17" width="8.7265625" style="24"/>
    <col min="18" max="18" width="22.26953125" style="24" bestFit="1" customWidth="1"/>
    <col min="19" max="21" width="8.7265625" style="24"/>
    <col min="22" max="22" width="16.08984375" style="24" bestFit="1" customWidth="1"/>
    <col min="23" max="23" width="67.26953125" style="24" bestFit="1" customWidth="1"/>
    <col min="24" max="24" width="14.90625" style="24" customWidth="1"/>
    <col min="25" max="25" width="13.7265625" style="24" bestFit="1" customWidth="1"/>
    <col min="26" max="26" width="14.1796875" style="24" customWidth="1"/>
    <col min="27" max="27" width="15.26953125" style="24" bestFit="1" customWidth="1"/>
    <col min="28" max="28" width="20.36328125" style="24" customWidth="1"/>
    <col min="29" max="29" width="18.36328125" style="24" customWidth="1"/>
    <col min="30" max="30" width="36.6328125" style="24" customWidth="1"/>
    <col min="31" max="31" width="29.08984375" style="24" customWidth="1"/>
    <col min="32" max="32" width="48.6328125" style="24" customWidth="1"/>
    <col min="33" max="33" width="34.90625" style="24" customWidth="1"/>
    <col min="34" max="16384" width="8.7265625" style="24"/>
  </cols>
  <sheetData>
    <row r="1" spans="8:20" ht="15" thickBot="1" x14ac:dyDescent="0.4"/>
    <row r="2" spans="8:20" ht="15" thickBot="1" x14ac:dyDescent="0.4">
      <c r="H2" s="136"/>
      <c r="I2" s="186" t="s">
        <v>614</v>
      </c>
      <c r="J2" s="187"/>
      <c r="K2" s="187"/>
      <c r="L2" s="187"/>
      <c r="M2" s="188"/>
      <c r="N2" s="136"/>
    </row>
    <row r="3" spans="8:20" x14ac:dyDescent="0.35">
      <c r="H3" s="136"/>
      <c r="I3" s="136"/>
      <c r="J3" s="136"/>
      <c r="K3" s="136"/>
      <c r="L3" s="136"/>
      <c r="M3" s="136"/>
      <c r="N3" s="136"/>
    </row>
    <row r="4" spans="8:20" x14ac:dyDescent="0.35">
      <c r="H4" s="136"/>
      <c r="I4" s="136"/>
      <c r="J4" s="136"/>
      <c r="K4" s="136"/>
      <c r="L4" s="136"/>
      <c r="M4" s="136"/>
      <c r="N4" s="136"/>
    </row>
    <row r="5" spans="8:20" ht="26" x14ac:dyDescent="0.35">
      <c r="H5" s="100" t="s">
        <v>628</v>
      </c>
      <c r="I5" s="136"/>
      <c r="J5" s="137" t="s">
        <v>609</v>
      </c>
      <c r="K5" s="136"/>
      <c r="L5" s="138" t="s">
        <v>610</v>
      </c>
      <c r="M5" s="136"/>
      <c r="N5" s="139" t="s">
        <v>611</v>
      </c>
      <c r="R5" s="24" t="s">
        <v>615</v>
      </c>
      <c r="S5" s="24">
        <f>J7</f>
        <v>51</v>
      </c>
      <c r="T5" s="159">
        <f>S5/S9</f>
        <v>0.77272727272727271</v>
      </c>
    </row>
    <row r="6" spans="8:20" x14ac:dyDescent="0.35">
      <c r="H6" s="136"/>
      <c r="I6" s="136"/>
      <c r="J6" s="136"/>
      <c r="K6" s="136"/>
      <c r="L6" s="136"/>
      <c r="M6" s="136"/>
      <c r="N6" s="136"/>
      <c r="R6" s="24" t="s">
        <v>611</v>
      </c>
      <c r="S6" s="24">
        <v>7</v>
      </c>
      <c r="T6" s="159">
        <f>S6/S9</f>
        <v>0.10606060606060606</v>
      </c>
    </row>
    <row r="7" spans="8:20" x14ac:dyDescent="0.35">
      <c r="H7" s="136">
        <v>66</v>
      </c>
      <c r="I7" s="136"/>
      <c r="J7" s="136">
        <f>H7-(J12+L12+N12+N7+L7)</f>
        <v>51</v>
      </c>
      <c r="K7" s="136"/>
      <c r="L7" s="136">
        <v>0</v>
      </c>
      <c r="M7" s="136"/>
      <c r="N7" s="136">
        <v>7</v>
      </c>
      <c r="R7" s="24" t="s">
        <v>469</v>
      </c>
      <c r="S7" s="24">
        <v>4</v>
      </c>
      <c r="T7" s="159">
        <f>S7/S9</f>
        <v>6.0606060606060608E-2</v>
      </c>
    </row>
    <row r="8" spans="8:20" x14ac:dyDescent="0.35">
      <c r="H8" s="136"/>
      <c r="I8" s="136"/>
      <c r="J8" s="136"/>
      <c r="K8" s="136"/>
      <c r="L8" s="136"/>
      <c r="M8" s="136"/>
      <c r="N8" s="136"/>
      <c r="R8" s="24" t="s">
        <v>179</v>
      </c>
      <c r="S8" s="24">
        <v>4</v>
      </c>
      <c r="T8" s="159">
        <f>S8/S9</f>
        <v>6.0606060606060608E-2</v>
      </c>
    </row>
    <row r="9" spans="8:20" x14ac:dyDescent="0.35">
      <c r="H9" s="136"/>
      <c r="I9" s="136"/>
      <c r="J9" s="136"/>
      <c r="K9" s="136"/>
      <c r="L9" s="136"/>
      <c r="M9" s="136"/>
      <c r="N9" s="136"/>
      <c r="R9" s="24" t="s">
        <v>17</v>
      </c>
      <c r="S9" s="24">
        <f>SUM(S5:S8)</f>
        <v>66</v>
      </c>
      <c r="T9" s="159">
        <f>T8+T7+T6+T5</f>
        <v>1</v>
      </c>
    </row>
    <row r="10" spans="8:20" x14ac:dyDescent="0.35">
      <c r="H10" s="140" t="s">
        <v>612</v>
      </c>
      <c r="I10" s="136"/>
      <c r="J10" s="141" t="s">
        <v>613</v>
      </c>
      <c r="K10" s="136"/>
      <c r="L10" s="142" t="s">
        <v>469</v>
      </c>
      <c r="M10" s="136"/>
      <c r="N10" s="143" t="s">
        <v>179</v>
      </c>
    </row>
    <row r="11" spans="8:20" x14ac:dyDescent="0.35">
      <c r="H11" s="136"/>
      <c r="I11" s="136"/>
      <c r="J11" s="136"/>
      <c r="K11" s="136"/>
      <c r="L11" s="136"/>
      <c r="M11" s="136"/>
      <c r="N11" s="136"/>
    </row>
    <row r="12" spans="8:20" x14ac:dyDescent="0.35">
      <c r="H12" s="136"/>
      <c r="I12" s="136"/>
      <c r="J12" s="136">
        <v>0</v>
      </c>
      <c r="K12" s="136"/>
      <c r="L12" s="136">
        <v>4</v>
      </c>
      <c r="M12" s="136"/>
      <c r="N12" s="136">
        <v>4</v>
      </c>
    </row>
    <row r="13" spans="8:20" x14ac:dyDescent="0.35">
      <c r="H13" s="136"/>
      <c r="I13" s="136"/>
      <c r="J13" s="136"/>
      <c r="K13" s="136"/>
      <c r="L13" s="136"/>
      <c r="M13" s="136"/>
      <c r="N13" s="136"/>
    </row>
    <row r="15" spans="8:20" x14ac:dyDescent="0.35">
      <c r="R15" s="24" t="s">
        <v>180</v>
      </c>
      <c r="S15" s="24">
        <v>28</v>
      </c>
      <c r="T15" s="159">
        <f>S15/S17</f>
        <v>0.42424242424242425</v>
      </c>
    </row>
    <row r="16" spans="8:20" x14ac:dyDescent="0.35">
      <c r="R16" s="24" t="s">
        <v>184</v>
      </c>
      <c r="S16" s="24">
        <v>38</v>
      </c>
      <c r="T16" s="159">
        <f>S16/S17</f>
        <v>0.5757575757575758</v>
      </c>
    </row>
    <row r="17" spans="18:32" x14ac:dyDescent="0.35">
      <c r="R17" s="24" t="s">
        <v>17</v>
      </c>
      <c r="S17" s="24">
        <f>S16+S15</f>
        <v>66</v>
      </c>
      <c r="T17" s="159">
        <f>T16+T15</f>
        <v>1</v>
      </c>
    </row>
    <row r="21" spans="18:32" ht="15" thickBot="1" x14ac:dyDescent="0.4"/>
    <row r="22" spans="18:32" x14ac:dyDescent="0.35">
      <c r="V22" s="167" t="s">
        <v>189</v>
      </c>
      <c r="W22" s="168" t="s">
        <v>24</v>
      </c>
      <c r="X22" s="168" t="s">
        <v>617</v>
      </c>
      <c r="Y22" s="168" t="s">
        <v>618</v>
      </c>
      <c r="Z22" s="168" t="s">
        <v>619</v>
      </c>
      <c r="AA22" s="168" t="s">
        <v>626</v>
      </c>
      <c r="AB22" s="168" t="s">
        <v>620</v>
      </c>
      <c r="AC22" s="100" t="s">
        <v>214</v>
      </c>
      <c r="AD22" s="169" t="s">
        <v>621</v>
      </c>
      <c r="AE22" s="169" t="s">
        <v>624</v>
      </c>
      <c r="AF22" s="169" t="s">
        <v>630</v>
      </c>
    </row>
    <row r="23" spans="18:32" ht="29" x14ac:dyDescent="0.35">
      <c r="V23" s="172" t="s">
        <v>197</v>
      </c>
      <c r="W23" s="173" t="s">
        <v>527</v>
      </c>
      <c r="X23" s="176" t="s">
        <v>625</v>
      </c>
      <c r="Y23" s="174">
        <v>2500000</v>
      </c>
      <c r="Z23" s="173" t="s">
        <v>173</v>
      </c>
      <c r="AA23" s="174">
        <v>16598514.689999999</v>
      </c>
      <c r="AB23" s="175" t="s">
        <v>623</v>
      </c>
      <c r="AC23" s="176" t="s">
        <v>625</v>
      </c>
      <c r="AD23" s="53" t="s">
        <v>230</v>
      </c>
      <c r="AE23" s="177" t="s">
        <v>635</v>
      </c>
      <c r="AF23" s="175"/>
    </row>
    <row r="24" spans="18:32" x14ac:dyDescent="0.35">
      <c r="V24" s="172" t="s">
        <v>197</v>
      </c>
      <c r="W24" s="173" t="s">
        <v>426</v>
      </c>
      <c r="X24" s="173" t="s">
        <v>185</v>
      </c>
      <c r="Y24" s="174">
        <v>2500000</v>
      </c>
      <c r="Z24" s="173" t="s">
        <v>173</v>
      </c>
      <c r="AA24" s="174">
        <v>15220001.17</v>
      </c>
      <c r="AB24" s="175" t="s">
        <v>623</v>
      </c>
      <c r="AC24" s="173" t="s">
        <v>185</v>
      </c>
      <c r="AD24" s="171" t="s">
        <v>413</v>
      </c>
      <c r="AE24" s="177" t="s">
        <v>632</v>
      </c>
      <c r="AF24" s="175"/>
    </row>
    <row r="25" spans="18:32" ht="25" customHeight="1" x14ac:dyDescent="0.35">
      <c r="V25" s="172" t="s">
        <v>195</v>
      </c>
      <c r="W25" s="173" t="s">
        <v>235</v>
      </c>
      <c r="X25" s="173" t="s">
        <v>590</v>
      </c>
      <c r="Y25" s="174">
        <v>1600000</v>
      </c>
      <c r="Z25" s="173" t="s">
        <v>174</v>
      </c>
      <c r="AA25" s="174">
        <v>13500004.18</v>
      </c>
      <c r="AB25" s="175" t="s">
        <v>631</v>
      </c>
      <c r="AC25" s="173" t="s">
        <v>590</v>
      </c>
      <c r="AD25" s="53" t="s">
        <v>230</v>
      </c>
      <c r="AE25" s="177" t="s">
        <v>637</v>
      </c>
      <c r="AF25" s="175"/>
    </row>
    <row r="26" spans="18:32" ht="29" x14ac:dyDescent="0.35">
      <c r="V26" s="172" t="s">
        <v>198</v>
      </c>
      <c r="W26" s="173" t="s">
        <v>37</v>
      </c>
      <c r="X26" s="173" t="s">
        <v>180</v>
      </c>
      <c r="Y26" s="174">
        <v>1470000</v>
      </c>
      <c r="Z26" s="173" t="s">
        <v>173</v>
      </c>
      <c r="AA26" s="174">
        <v>13000000</v>
      </c>
      <c r="AB26" s="175" t="s">
        <v>623</v>
      </c>
      <c r="AC26" s="173" t="s">
        <v>180</v>
      </c>
      <c r="AD26" s="53" t="s">
        <v>230</v>
      </c>
      <c r="AE26" s="177" t="s">
        <v>635</v>
      </c>
      <c r="AF26" s="175"/>
    </row>
    <row r="27" spans="18:32" ht="29" x14ac:dyDescent="0.35">
      <c r="V27" s="172" t="s">
        <v>195</v>
      </c>
      <c r="W27" s="173" t="s">
        <v>47</v>
      </c>
      <c r="X27" s="173" t="s">
        <v>180</v>
      </c>
      <c r="Y27" s="174">
        <v>1300000</v>
      </c>
      <c r="Z27" s="173" t="s">
        <v>171</v>
      </c>
      <c r="AA27" s="174">
        <v>4270000.03</v>
      </c>
      <c r="AB27" s="175" t="s">
        <v>623</v>
      </c>
      <c r="AC27" s="173" t="s">
        <v>180</v>
      </c>
      <c r="AD27" s="53" t="s">
        <v>230</v>
      </c>
      <c r="AE27" s="177" t="s">
        <v>635</v>
      </c>
      <c r="AF27" s="175"/>
    </row>
    <row r="28" spans="18:32" ht="29" x14ac:dyDescent="0.35">
      <c r="R28" s="108" t="s">
        <v>185</v>
      </c>
      <c r="S28">
        <v>10</v>
      </c>
      <c r="T28" s="159">
        <f>S28/S33</f>
        <v>0.26315789473684209</v>
      </c>
      <c r="V28" s="172" t="s">
        <v>191</v>
      </c>
      <c r="W28" s="173" t="s">
        <v>381</v>
      </c>
      <c r="X28" s="173" t="s">
        <v>590</v>
      </c>
      <c r="Y28" s="174">
        <v>5402500</v>
      </c>
      <c r="Z28" s="173" t="s">
        <v>171</v>
      </c>
      <c r="AA28" s="174">
        <v>4087790.39</v>
      </c>
      <c r="AB28" s="175" t="s">
        <v>623</v>
      </c>
      <c r="AC28" s="173" t="s">
        <v>590</v>
      </c>
      <c r="AD28" s="170" t="s">
        <v>382</v>
      </c>
      <c r="AE28" s="177" t="s">
        <v>634</v>
      </c>
      <c r="AF28" s="175"/>
    </row>
    <row r="29" spans="18:32" ht="29" x14ac:dyDescent="0.35">
      <c r="R29" s="108" t="s">
        <v>616</v>
      </c>
      <c r="S29">
        <v>21</v>
      </c>
      <c r="T29" s="159">
        <f>S29/S33</f>
        <v>0.55263157894736847</v>
      </c>
      <c r="V29" s="172" t="s">
        <v>195</v>
      </c>
      <c r="W29" s="173" t="s">
        <v>109</v>
      </c>
      <c r="X29" s="173" t="s">
        <v>186</v>
      </c>
      <c r="Y29" s="174">
        <v>7000000</v>
      </c>
      <c r="Z29" s="173" t="s">
        <v>174</v>
      </c>
      <c r="AA29" s="174">
        <v>3506777.17</v>
      </c>
      <c r="AB29" s="175" t="s">
        <v>20</v>
      </c>
      <c r="AC29" s="173" t="s">
        <v>186</v>
      </c>
      <c r="AD29" s="53" t="s">
        <v>230</v>
      </c>
      <c r="AE29" s="177" t="s">
        <v>633</v>
      </c>
      <c r="AF29" s="175"/>
    </row>
    <row r="30" spans="18:32" ht="29" x14ac:dyDescent="0.35">
      <c r="R30" s="108" t="s">
        <v>590</v>
      </c>
      <c r="S30">
        <v>5</v>
      </c>
      <c r="T30" s="159">
        <f>S30/S33</f>
        <v>0.13157894736842105</v>
      </c>
      <c r="V30" s="172" t="s">
        <v>191</v>
      </c>
      <c r="W30" s="173" t="s">
        <v>569</v>
      </c>
      <c r="X30" s="173" t="s">
        <v>590</v>
      </c>
      <c r="Y30" s="174">
        <v>400000</v>
      </c>
      <c r="Z30" s="173" t="s">
        <v>173</v>
      </c>
      <c r="AA30" s="174">
        <v>3154429.84</v>
      </c>
      <c r="AB30" s="175" t="s">
        <v>623</v>
      </c>
      <c r="AC30" s="173" t="s">
        <v>590</v>
      </c>
      <c r="AD30" s="53" t="s">
        <v>230</v>
      </c>
      <c r="AE30" s="177" t="s">
        <v>634</v>
      </c>
      <c r="AF30" s="175"/>
    </row>
    <row r="31" spans="18:32" ht="29" x14ac:dyDescent="0.35">
      <c r="R31" s="108" t="s">
        <v>186</v>
      </c>
      <c r="S31">
        <v>1</v>
      </c>
      <c r="T31" s="159">
        <f>S31/S33</f>
        <v>2.6315789473684209E-2</v>
      </c>
      <c r="V31" s="172" t="s">
        <v>191</v>
      </c>
      <c r="W31" s="173" t="s">
        <v>79</v>
      </c>
      <c r="X31" s="173" t="s">
        <v>180</v>
      </c>
      <c r="Y31" s="174">
        <v>2300000</v>
      </c>
      <c r="Z31" s="173" t="s">
        <v>173</v>
      </c>
      <c r="AA31" s="174">
        <v>2753232.76</v>
      </c>
      <c r="AB31" s="175" t="s">
        <v>623</v>
      </c>
      <c r="AC31" s="173" t="s">
        <v>180</v>
      </c>
      <c r="AD31" s="53" t="s">
        <v>230</v>
      </c>
      <c r="AE31" s="177" t="s">
        <v>636</v>
      </c>
      <c r="AF31" s="175"/>
    </row>
    <row r="32" spans="18:32" ht="29" x14ac:dyDescent="0.35">
      <c r="R32" s="108" t="s">
        <v>247</v>
      </c>
      <c r="S32">
        <v>1</v>
      </c>
      <c r="T32" s="159">
        <f>S32/S33</f>
        <v>2.6315789473684209E-2</v>
      </c>
      <c r="V32" s="172" t="s">
        <v>196</v>
      </c>
      <c r="W32" s="173" t="s">
        <v>594</v>
      </c>
      <c r="X32" s="176" t="s">
        <v>625</v>
      </c>
      <c r="Y32" s="174">
        <v>1000000</v>
      </c>
      <c r="Z32" s="173" t="s">
        <v>173</v>
      </c>
      <c r="AA32" s="174">
        <v>2000000</v>
      </c>
      <c r="AB32" s="175" t="s">
        <v>623</v>
      </c>
      <c r="AC32" s="173" t="s">
        <v>589</v>
      </c>
      <c r="AD32" s="53" t="s">
        <v>230</v>
      </c>
      <c r="AE32" s="177" t="s">
        <v>635</v>
      </c>
      <c r="AF32" s="175"/>
    </row>
    <row r="33" spans="18:31" x14ac:dyDescent="0.35">
      <c r="R33" s="108" t="s">
        <v>17</v>
      </c>
      <c r="S33">
        <f>S32+S31+S30+S29+S28</f>
        <v>38</v>
      </c>
      <c r="T33" s="159">
        <f>SUM(T28:T32)</f>
        <v>1</v>
      </c>
    </row>
    <row r="38" spans="18:31" x14ac:dyDescent="0.35">
      <c r="V38" s="100" t="s">
        <v>189</v>
      </c>
      <c r="W38" s="100" t="s">
        <v>24</v>
      </c>
      <c r="X38" s="100" t="s">
        <v>214</v>
      </c>
      <c r="Y38" s="100" t="s">
        <v>618</v>
      </c>
      <c r="Z38" s="100" t="s">
        <v>216</v>
      </c>
      <c r="AA38" s="100" t="s">
        <v>626</v>
      </c>
      <c r="AB38" s="178" t="s">
        <v>639</v>
      </c>
      <c r="AC38" s="178" t="s">
        <v>6</v>
      </c>
    </row>
    <row r="39" spans="18:31" x14ac:dyDescent="0.35">
      <c r="V39" s="111" t="s">
        <v>198</v>
      </c>
      <c r="W39" s="102" t="s">
        <v>412</v>
      </c>
      <c r="X39" s="103" t="s">
        <v>638</v>
      </c>
      <c r="Y39" s="103">
        <v>622000</v>
      </c>
      <c r="Z39" s="102" t="s">
        <v>171</v>
      </c>
      <c r="AA39" s="174"/>
      <c r="AB39" s="103" t="s">
        <v>640</v>
      </c>
      <c r="AC39" s="103" t="s">
        <v>657</v>
      </c>
    </row>
    <row r="40" spans="18:31" x14ac:dyDescent="0.35">
      <c r="V40" s="111" t="s">
        <v>191</v>
      </c>
      <c r="W40" s="102" t="s">
        <v>85</v>
      </c>
      <c r="X40" s="104" t="s">
        <v>180</v>
      </c>
      <c r="Y40" s="103">
        <v>74994</v>
      </c>
      <c r="Z40" s="102" t="s">
        <v>171</v>
      </c>
      <c r="AA40" s="174"/>
      <c r="AB40" s="103" t="s">
        <v>640</v>
      </c>
      <c r="AC40" s="103" t="s">
        <v>658</v>
      </c>
    </row>
    <row r="41" spans="18:31" x14ac:dyDescent="0.35">
      <c r="V41" s="111" t="s">
        <v>197</v>
      </c>
      <c r="W41" s="110" t="s">
        <v>269</v>
      </c>
      <c r="X41" s="104" t="s">
        <v>180</v>
      </c>
      <c r="Y41" s="103">
        <v>21700</v>
      </c>
      <c r="Z41" s="102" t="s">
        <v>171</v>
      </c>
      <c r="AA41" s="174">
        <v>710768</v>
      </c>
      <c r="AB41" s="104" t="s">
        <v>660</v>
      </c>
      <c r="AC41" s="104" t="s">
        <v>661</v>
      </c>
    </row>
    <row r="42" spans="18:31" x14ac:dyDescent="0.35">
      <c r="V42" s="111" t="s">
        <v>196</v>
      </c>
      <c r="W42" s="102" t="s">
        <v>107</v>
      </c>
      <c r="X42" s="104" t="s">
        <v>180</v>
      </c>
      <c r="Y42" s="103">
        <v>3993.75</v>
      </c>
      <c r="Z42" s="102" t="s">
        <v>174</v>
      </c>
      <c r="AA42" s="174">
        <v>70791.600000000006</v>
      </c>
      <c r="AB42" s="104" t="s">
        <v>641</v>
      </c>
      <c r="AC42" s="104" t="s">
        <v>659</v>
      </c>
    </row>
    <row r="47" spans="18:31" x14ac:dyDescent="0.35">
      <c r="V47" s="100" t="s">
        <v>189</v>
      </c>
      <c r="W47" s="100" t="s">
        <v>24</v>
      </c>
      <c r="X47" s="100" t="s">
        <v>211</v>
      </c>
      <c r="Y47" s="100" t="s">
        <v>214</v>
      </c>
      <c r="Z47" s="100" t="s">
        <v>115</v>
      </c>
      <c r="AA47" s="100" t="s">
        <v>216</v>
      </c>
      <c r="AB47" s="100" t="s">
        <v>116</v>
      </c>
      <c r="AC47" s="100" t="s">
        <v>219</v>
      </c>
      <c r="AD47" s="100" t="s">
        <v>662</v>
      </c>
      <c r="AE47" s="100" t="s">
        <v>663</v>
      </c>
    </row>
    <row r="48" spans="18:31" ht="25" x14ac:dyDescent="0.35">
      <c r="V48" s="111" t="s">
        <v>191</v>
      </c>
      <c r="W48" s="102" t="s">
        <v>381</v>
      </c>
      <c r="X48" s="103">
        <v>5402500</v>
      </c>
      <c r="Y48" s="102" t="s">
        <v>590</v>
      </c>
      <c r="Z48" s="101" t="s">
        <v>176</v>
      </c>
      <c r="AA48" s="102" t="s">
        <v>171</v>
      </c>
      <c r="AB48" s="101" t="s">
        <v>120</v>
      </c>
      <c r="AC48" s="182" t="s">
        <v>611</v>
      </c>
      <c r="AD48" s="105" t="s">
        <v>650</v>
      </c>
      <c r="AE48" s="105" t="s">
        <v>664</v>
      </c>
    </row>
    <row r="49" spans="22:31" ht="38" x14ac:dyDescent="0.35">
      <c r="V49" s="111" t="s">
        <v>197</v>
      </c>
      <c r="W49" s="102" t="s">
        <v>81</v>
      </c>
      <c r="X49" s="103">
        <v>500000</v>
      </c>
      <c r="Y49" s="102" t="s">
        <v>185</v>
      </c>
      <c r="Z49" s="101" t="s">
        <v>176</v>
      </c>
      <c r="AA49" s="102" t="s">
        <v>173</v>
      </c>
      <c r="AB49" s="101" t="s">
        <v>120</v>
      </c>
      <c r="AC49" s="183" t="s">
        <v>611</v>
      </c>
      <c r="AD49" s="105" t="s">
        <v>653</v>
      </c>
      <c r="AE49" s="105" t="s">
        <v>666</v>
      </c>
    </row>
    <row r="50" spans="22:31" ht="37.5" x14ac:dyDescent="0.35">
      <c r="V50" s="111" t="s">
        <v>191</v>
      </c>
      <c r="W50" s="102" t="s">
        <v>337</v>
      </c>
      <c r="X50" s="103">
        <v>185559</v>
      </c>
      <c r="Y50" s="102" t="s">
        <v>185</v>
      </c>
      <c r="Z50" s="101" t="s">
        <v>176</v>
      </c>
      <c r="AA50" s="102" t="s">
        <v>173</v>
      </c>
      <c r="AB50" s="101" t="s">
        <v>120</v>
      </c>
      <c r="AC50" s="183" t="s">
        <v>611</v>
      </c>
      <c r="AD50" s="105" t="s">
        <v>665</v>
      </c>
      <c r="AE50" s="105" t="s">
        <v>670</v>
      </c>
    </row>
    <row r="51" spans="22:31" ht="50" x14ac:dyDescent="0.35">
      <c r="V51" s="111" t="s">
        <v>195</v>
      </c>
      <c r="W51" s="102" t="s">
        <v>251</v>
      </c>
      <c r="X51" s="103">
        <v>166921</v>
      </c>
      <c r="Y51" s="102" t="s">
        <v>185</v>
      </c>
      <c r="Z51" s="101" t="s">
        <v>176</v>
      </c>
      <c r="AA51" s="102" t="s">
        <v>173</v>
      </c>
      <c r="AB51" s="101" t="s">
        <v>120</v>
      </c>
      <c r="AC51" s="183" t="s">
        <v>611</v>
      </c>
      <c r="AD51" s="105" t="s">
        <v>651</v>
      </c>
      <c r="AE51" s="105" t="s">
        <v>667</v>
      </c>
    </row>
    <row r="52" spans="22:31" ht="37.5" x14ac:dyDescent="0.35">
      <c r="V52" s="111" t="s">
        <v>191</v>
      </c>
      <c r="W52" s="102" t="s">
        <v>111</v>
      </c>
      <c r="X52" s="103">
        <v>152800</v>
      </c>
      <c r="Y52" s="102" t="s">
        <v>180</v>
      </c>
      <c r="Z52" s="101" t="s">
        <v>176</v>
      </c>
      <c r="AA52" s="102" t="s">
        <v>171</v>
      </c>
      <c r="AB52" s="101" t="s">
        <v>120</v>
      </c>
      <c r="AC52" s="183" t="s">
        <v>611</v>
      </c>
      <c r="AD52" s="105" t="s">
        <v>668</v>
      </c>
      <c r="AE52" s="105" t="s">
        <v>671</v>
      </c>
    </row>
    <row r="53" spans="22:31" ht="37.5" x14ac:dyDescent="0.35">
      <c r="V53" s="111" t="s">
        <v>199</v>
      </c>
      <c r="W53" s="102" t="s">
        <v>655</v>
      </c>
      <c r="X53" s="103">
        <v>91007</v>
      </c>
      <c r="Y53" s="104" t="s">
        <v>589</v>
      </c>
      <c r="Z53" s="101" t="s">
        <v>176</v>
      </c>
      <c r="AA53" s="102" t="s">
        <v>171</v>
      </c>
      <c r="AB53" s="101" t="s">
        <v>120</v>
      </c>
      <c r="AC53" s="183" t="s">
        <v>611</v>
      </c>
      <c r="AD53" s="105" t="s">
        <v>669</v>
      </c>
      <c r="AE53" s="105" t="s">
        <v>672</v>
      </c>
    </row>
    <row r="54" spans="22:31" ht="62.5" x14ac:dyDescent="0.35">
      <c r="V54" s="111" t="s">
        <v>197</v>
      </c>
      <c r="W54" s="102" t="s">
        <v>342</v>
      </c>
      <c r="X54" s="103">
        <v>42628</v>
      </c>
      <c r="Y54" s="102" t="s">
        <v>180</v>
      </c>
      <c r="Z54" s="101" t="s">
        <v>176</v>
      </c>
      <c r="AA54" s="102" t="s">
        <v>173</v>
      </c>
      <c r="AB54" s="101" t="s">
        <v>120</v>
      </c>
      <c r="AC54" s="183" t="s">
        <v>611</v>
      </c>
      <c r="AD54" s="105" t="s">
        <v>656</v>
      </c>
      <c r="AE54" s="105" t="s">
        <v>673</v>
      </c>
    </row>
  </sheetData>
  <sortState xmlns:xlrd2="http://schemas.microsoft.com/office/spreadsheetml/2017/richdata2" ref="V23:AE32">
    <sortCondition descending="1" ref="AA23:AA32"/>
  </sortState>
  <mergeCells count="1">
    <mergeCell ref="I2:M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AAC7C-B885-4459-B72D-0048AB4F0F60}">
  <dimension ref="A1:J59"/>
  <sheetViews>
    <sheetView showGridLines="0" tabSelected="1" topLeftCell="A39" workbookViewId="0">
      <selection activeCell="E50" sqref="E50"/>
    </sheetView>
  </sheetViews>
  <sheetFormatPr defaultRowHeight="14.5" x14ac:dyDescent="0.35"/>
  <cols>
    <col min="1" max="1" width="16.54296875" bestFit="1" customWidth="1"/>
    <col min="2" max="2" width="19.6328125" bestFit="1" customWidth="1"/>
    <col min="5" max="5" width="19.6328125" bestFit="1" customWidth="1"/>
    <col min="6" max="6" width="15.6328125" bestFit="1" customWidth="1"/>
    <col min="7" max="7" width="9.6328125" bestFit="1" customWidth="1"/>
    <col min="8" max="9" width="10.36328125" bestFit="1" customWidth="1"/>
    <col min="10" max="10" width="9.81640625" bestFit="1" customWidth="1"/>
    <col min="11" max="11" width="10.453125" bestFit="1" customWidth="1"/>
  </cols>
  <sheetData>
    <row r="1" spans="1:7" x14ac:dyDescent="0.35">
      <c r="A1" s="189" t="s">
        <v>166</v>
      </c>
      <c r="B1" s="189"/>
      <c r="E1" s="189" t="s">
        <v>167</v>
      </c>
      <c r="F1" s="189"/>
    </row>
    <row r="2" spans="1:7" x14ac:dyDescent="0.35">
      <c r="A2" s="34" t="s">
        <v>168</v>
      </c>
      <c r="B2" t="s">
        <v>169</v>
      </c>
      <c r="E2" s="34" t="s">
        <v>168</v>
      </c>
      <c r="F2" t="s">
        <v>169</v>
      </c>
    </row>
    <row r="3" spans="1:7" x14ac:dyDescent="0.35">
      <c r="A3" s="33" t="s">
        <v>170</v>
      </c>
      <c r="B3">
        <v>37</v>
      </c>
      <c r="C3" s="18">
        <f>GETPIVOTDATA("Project Name",$A$2,"Delivery Region","India")/GETPIVOTDATA("Project Name",$A$2)</f>
        <v>0.56060606060606055</v>
      </c>
      <c r="E3" s="33" t="s">
        <v>171</v>
      </c>
      <c r="F3">
        <v>21</v>
      </c>
      <c r="G3" s="18">
        <f>GETPIVOTDATA("Project Name",$E$2,"Contract Type","Fixed Fee")/GETPIVOTDATA("Project Name",$E$2)</f>
        <v>0.31818181818181818</v>
      </c>
    </row>
    <row r="4" spans="1:7" x14ac:dyDescent="0.35">
      <c r="A4" s="33" t="s">
        <v>172</v>
      </c>
      <c r="B4">
        <v>29</v>
      </c>
      <c r="C4" s="18">
        <f>GETPIVOTDATA("Project Name",$A$2,"Delivery Region","India/US")/GETPIVOTDATA("Project Name",$A$2)</f>
        <v>0.43939393939393939</v>
      </c>
      <c r="E4" s="33" t="s">
        <v>173</v>
      </c>
      <c r="F4">
        <v>20</v>
      </c>
      <c r="G4" s="18">
        <f>GETPIVOTDATA("Project Name",$E$2,"Contract Type","Service Credit")/GETPIVOTDATA("Project Name",$E$2)</f>
        <v>0.30303030303030304</v>
      </c>
    </row>
    <row r="5" spans="1:7" x14ac:dyDescent="0.35">
      <c r="A5" s="33" t="s">
        <v>15</v>
      </c>
      <c r="B5">
        <v>66</v>
      </c>
      <c r="C5" s="18">
        <f>SUM(C3:C4)</f>
        <v>1</v>
      </c>
      <c r="E5" s="33" t="s">
        <v>174</v>
      </c>
      <c r="F5">
        <v>25</v>
      </c>
      <c r="G5" s="18">
        <f>GETPIVOTDATA("Project Name",$E$2,"Contract Type","T&amp;M")/GETPIVOTDATA("Project Name",$E$2)</f>
        <v>0.37878787878787878</v>
      </c>
    </row>
    <row r="6" spans="1:7" x14ac:dyDescent="0.35">
      <c r="C6" s="1"/>
      <c r="E6" s="33" t="s">
        <v>15</v>
      </c>
      <c r="F6">
        <v>66</v>
      </c>
      <c r="G6" s="18">
        <f>SUM(G2:G5)</f>
        <v>1</v>
      </c>
    </row>
    <row r="9" spans="1:7" x14ac:dyDescent="0.35">
      <c r="C9" s="1"/>
    </row>
    <row r="11" spans="1:7" x14ac:dyDescent="0.35">
      <c r="A11" s="189" t="s">
        <v>175</v>
      </c>
      <c r="B11" s="189"/>
    </row>
    <row r="12" spans="1:7" x14ac:dyDescent="0.35">
      <c r="A12" s="34" t="s">
        <v>168</v>
      </c>
      <c r="B12" t="s">
        <v>169</v>
      </c>
      <c r="C12" t="s">
        <v>606</v>
      </c>
    </row>
    <row r="13" spans="1:7" x14ac:dyDescent="0.35">
      <c r="A13" s="33" t="s">
        <v>176</v>
      </c>
      <c r="B13">
        <v>38</v>
      </c>
      <c r="C13" s="18">
        <f>GETPIVOTDATA("Project Name",$A$12,"SOW Type","Delivery")/GETPIVOTDATA("Project Name",$A$12)</f>
        <v>0.5757575757575758</v>
      </c>
    </row>
    <row r="14" spans="1:7" x14ac:dyDescent="0.35">
      <c r="A14" s="33" t="s">
        <v>122</v>
      </c>
      <c r="B14">
        <v>7</v>
      </c>
      <c r="C14" s="18">
        <f>GETPIVOTDATA("Project Name",$A$12,"SOW Type","MS")/GETPIVOTDATA("Project Name",$A$12)</f>
        <v>0.10606060606060606</v>
      </c>
    </row>
    <row r="15" spans="1:7" x14ac:dyDescent="0.35">
      <c r="A15" s="33" t="s">
        <v>177</v>
      </c>
      <c r="B15">
        <v>21</v>
      </c>
      <c r="C15" s="18">
        <f>GETPIVOTDATA("Project Name",$A$12,"SOW Type","Staff Aug")/GETPIVOTDATA("Project Name",$A$12)</f>
        <v>0.31818181818181818</v>
      </c>
    </row>
    <row r="16" spans="1:7" x14ac:dyDescent="0.35">
      <c r="A16" s="33" t="s">
        <v>15</v>
      </c>
      <c r="B16">
        <v>66</v>
      </c>
      <c r="C16" s="18">
        <f>SUM(C12:C15)</f>
        <v>1</v>
      </c>
    </row>
    <row r="21" spans="1:10" ht="15" thickBot="1" x14ac:dyDescent="0.4"/>
    <row r="22" spans="1:10" ht="18" customHeight="1" thickBot="1" x14ac:dyDescent="0.4">
      <c r="A22" s="15" t="s">
        <v>168</v>
      </c>
      <c r="B22" s="16" t="s">
        <v>169</v>
      </c>
      <c r="C22" s="16" t="s">
        <v>606</v>
      </c>
      <c r="E22" s="34" t="s">
        <v>168</v>
      </c>
      <c r="F22" t="s">
        <v>169</v>
      </c>
      <c r="H22" s="20" t="s">
        <v>178</v>
      </c>
      <c r="I22" s="21" t="s">
        <v>2</v>
      </c>
      <c r="J22" s="22" t="s">
        <v>3</v>
      </c>
    </row>
    <row r="23" spans="1:10" ht="15" thickBot="1" x14ac:dyDescent="0.4">
      <c r="A23" s="17" t="s">
        <v>120</v>
      </c>
      <c r="B23" s="16">
        <v>57</v>
      </c>
      <c r="C23" s="135">
        <f>GETPIVOTDATA("Project Name",$A$22,"Status","In Progress")/GETPIVOTDATA("Project Name",$A$22)</f>
        <v>0.86363636363636365</v>
      </c>
      <c r="E23" s="33" t="s">
        <v>180</v>
      </c>
      <c r="F23">
        <v>28</v>
      </c>
      <c r="H23" s="93" t="s">
        <v>184</v>
      </c>
      <c r="I23" s="94">
        <f>I25+I26+I24+I27+I28</f>
        <v>38</v>
      </c>
      <c r="J23" s="95">
        <f>I23/I30</f>
        <v>0.5757575757575758</v>
      </c>
    </row>
    <row r="24" spans="1:10" x14ac:dyDescent="0.35">
      <c r="A24" s="17" t="s">
        <v>182</v>
      </c>
      <c r="B24" s="16">
        <v>5</v>
      </c>
      <c r="C24" s="135">
        <f>GETPIVOTDATA("Project Name",$A$22,"Status","On HOLD")/GETPIVOTDATA("Project Name",$A$22)</f>
        <v>7.575757575757576E-2</v>
      </c>
      <c r="E24" s="108" t="s">
        <v>180</v>
      </c>
      <c r="F24">
        <v>28</v>
      </c>
      <c r="H24" s="96" t="s">
        <v>185</v>
      </c>
      <c r="I24" s="97">
        <v>9</v>
      </c>
      <c r="J24" s="44">
        <f>I24/I23</f>
        <v>0.23684210526315788</v>
      </c>
    </row>
    <row r="25" spans="1:10" x14ac:dyDescent="0.35">
      <c r="A25" s="17" t="s">
        <v>179</v>
      </c>
      <c r="B25" s="16">
        <v>4</v>
      </c>
      <c r="C25" s="135">
        <f>GETPIVOTDATA("Project Name",$A$22,"Status","Yet to Start")/GETPIVOTDATA("Project Name",$A$22)</f>
        <v>6.0606060606060608E-2</v>
      </c>
      <c r="E25" s="33" t="s">
        <v>184</v>
      </c>
      <c r="F25">
        <v>38</v>
      </c>
      <c r="H25" s="42" t="s">
        <v>186</v>
      </c>
      <c r="I25" s="3">
        <v>1</v>
      </c>
      <c r="J25" s="2">
        <f>I25/I23</f>
        <v>2.6315789473684209E-2</v>
      </c>
    </row>
    <row r="26" spans="1:10" x14ac:dyDescent="0.35">
      <c r="A26" s="17" t="s">
        <v>15</v>
      </c>
      <c r="B26" s="16">
        <v>66</v>
      </c>
      <c r="C26" s="135">
        <f>C25+C24+C23</f>
        <v>1</v>
      </c>
      <c r="E26" s="108" t="s">
        <v>185</v>
      </c>
      <c r="F26">
        <v>10</v>
      </c>
      <c r="H26" s="42" t="s">
        <v>589</v>
      </c>
      <c r="I26" s="3">
        <v>22</v>
      </c>
      <c r="J26" s="2">
        <f>I26/I23</f>
        <v>0.57894736842105265</v>
      </c>
    </row>
    <row r="27" spans="1:10" x14ac:dyDescent="0.35">
      <c r="E27" s="108" t="s">
        <v>186</v>
      </c>
      <c r="F27">
        <v>1</v>
      </c>
      <c r="H27" s="42" t="s">
        <v>590</v>
      </c>
      <c r="I27" s="3">
        <v>5</v>
      </c>
      <c r="J27" s="2">
        <f>I27/I23</f>
        <v>0.13157894736842105</v>
      </c>
    </row>
    <row r="28" spans="1:10" x14ac:dyDescent="0.35">
      <c r="E28" s="108" t="s">
        <v>247</v>
      </c>
      <c r="F28">
        <v>1</v>
      </c>
      <c r="H28" s="42" t="s">
        <v>247</v>
      </c>
      <c r="I28" s="3">
        <v>1</v>
      </c>
      <c r="J28" s="2">
        <f>I28/I23</f>
        <v>2.6315789473684209E-2</v>
      </c>
    </row>
    <row r="29" spans="1:10" ht="15" thickBot="1" x14ac:dyDescent="0.4">
      <c r="E29" s="108" t="s">
        <v>589</v>
      </c>
      <c r="F29">
        <v>21</v>
      </c>
      <c r="H29" s="85" t="s">
        <v>183</v>
      </c>
      <c r="I29" s="86">
        <v>28</v>
      </c>
      <c r="J29" s="87">
        <f>I29/I30</f>
        <v>0.42424242424242425</v>
      </c>
    </row>
    <row r="30" spans="1:10" ht="15" thickBot="1" x14ac:dyDescent="0.4">
      <c r="E30" s="108" t="s">
        <v>590</v>
      </c>
      <c r="F30">
        <v>5</v>
      </c>
      <c r="H30" s="4" t="s">
        <v>15</v>
      </c>
      <c r="I30" s="5">
        <f>I29+I23</f>
        <v>66</v>
      </c>
      <c r="J30" s="43">
        <f>J29+J23</f>
        <v>1</v>
      </c>
    </row>
    <row r="31" spans="1:10" x14ac:dyDescent="0.35">
      <c r="E31" s="33" t="s">
        <v>15</v>
      </c>
      <c r="F31">
        <v>66</v>
      </c>
    </row>
    <row r="41" spans="1:8" x14ac:dyDescent="0.35">
      <c r="A41" s="180" t="s">
        <v>189</v>
      </c>
      <c r="B41" s="160" t="s">
        <v>642</v>
      </c>
      <c r="E41" s="34" t="s">
        <v>169</v>
      </c>
      <c r="F41" s="34" t="s">
        <v>190</v>
      </c>
    </row>
    <row r="42" spans="1:8" x14ac:dyDescent="0.35">
      <c r="A42" s="17" t="s">
        <v>191</v>
      </c>
      <c r="B42" s="16">
        <v>24</v>
      </c>
      <c r="C42" t="s">
        <v>192</v>
      </c>
      <c r="E42" s="34" t="s">
        <v>189</v>
      </c>
      <c r="F42" t="s">
        <v>193</v>
      </c>
      <c r="G42" t="s">
        <v>194</v>
      </c>
      <c r="H42" t="s">
        <v>15</v>
      </c>
    </row>
    <row r="43" spans="1:8" x14ac:dyDescent="0.35">
      <c r="A43" s="17" t="s">
        <v>195</v>
      </c>
      <c r="B43" s="16">
        <v>16</v>
      </c>
      <c r="C43" t="s">
        <v>201</v>
      </c>
      <c r="E43" s="33" t="s">
        <v>195</v>
      </c>
      <c r="F43">
        <v>7</v>
      </c>
      <c r="G43">
        <v>9</v>
      </c>
      <c r="H43">
        <v>16</v>
      </c>
    </row>
    <row r="44" spans="1:8" x14ac:dyDescent="0.35">
      <c r="A44" s="17" t="s">
        <v>197</v>
      </c>
      <c r="B44" s="16">
        <v>14</v>
      </c>
      <c r="C44" t="s">
        <v>192</v>
      </c>
      <c r="E44" s="33" t="s">
        <v>196</v>
      </c>
      <c r="F44">
        <v>6</v>
      </c>
      <c r="G44">
        <v>1</v>
      </c>
      <c r="H44">
        <v>7</v>
      </c>
    </row>
    <row r="45" spans="1:8" x14ac:dyDescent="0.35">
      <c r="A45" s="17" t="s">
        <v>196</v>
      </c>
      <c r="B45" s="16">
        <v>7</v>
      </c>
      <c r="C45" t="s">
        <v>201</v>
      </c>
      <c r="E45" s="33" t="s">
        <v>199</v>
      </c>
      <c r="G45">
        <v>1</v>
      </c>
      <c r="H45">
        <v>1</v>
      </c>
    </row>
    <row r="46" spans="1:8" x14ac:dyDescent="0.35">
      <c r="A46" s="17" t="s">
        <v>198</v>
      </c>
      <c r="B46" s="16">
        <v>2</v>
      </c>
      <c r="C46" t="s">
        <v>192</v>
      </c>
      <c r="E46" s="33" t="s">
        <v>15</v>
      </c>
      <c r="F46">
        <v>13</v>
      </c>
      <c r="G46">
        <v>11</v>
      </c>
      <c r="H46">
        <v>24</v>
      </c>
    </row>
    <row r="47" spans="1:8" x14ac:dyDescent="0.35">
      <c r="A47" s="17" t="s">
        <v>554</v>
      </c>
      <c r="B47" s="16">
        <v>2</v>
      </c>
      <c r="C47" t="s">
        <v>201</v>
      </c>
    </row>
    <row r="48" spans="1:8" x14ac:dyDescent="0.35">
      <c r="A48" s="17" t="s">
        <v>199</v>
      </c>
      <c r="B48" s="16">
        <v>1</v>
      </c>
    </row>
    <row r="49" spans="1:3" x14ac:dyDescent="0.35">
      <c r="A49" s="17" t="s">
        <v>15</v>
      </c>
      <c r="B49" s="16">
        <v>66</v>
      </c>
    </row>
    <row r="50" spans="1:3" x14ac:dyDescent="0.35">
      <c r="C50" t="s">
        <v>201</v>
      </c>
    </row>
    <row r="52" spans="1:3" ht="15" thickBot="1" x14ac:dyDescent="0.4"/>
    <row r="53" spans="1:3" ht="15" thickBot="1" x14ac:dyDescent="0.4">
      <c r="A53" s="119" t="s">
        <v>189</v>
      </c>
      <c r="B53" s="120" t="s">
        <v>202</v>
      </c>
    </row>
    <row r="54" spans="1:3" x14ac:dyDescent="0.35">
      <c r="A54" s="121" t="s">
        <v>191</v>
      </c>
      <c r="B54" s="122" t="s">
        <v>192</v>
      </c>
    </row>
    <row r="55" spans="1:3" x14ac:dyDescent="0.35">
      <c r="A55" s="123" t="s">
        <v>195</v>
      </c>
      <c r="B55" s="124" t="s">
        <v>203</v>
      </c>
    </row>
    <row r="56" spans="1:3" x14ac:dyDescent="0.35">
      <c r="A56" s="123" t="s">
        <v>197</v>
      </c>
      <c r="B56" s="124" t="s">
        <v>203</v>
      </c>
    </row>
    <row r="57" spans="1:3" x14ac:dyDescent="0.35">
      <c r="A57" s="123" t="s">
        <v>196</v>
      </c>
      <c r="B57" s="124" t="s">
        <v>192</v>
      </c>
    </row>
    <row r="58" spans="1:3" x14ac:dyDescent="0.35">
      <c r="A58" s="123" t="s">
        <v>198</v>
      </c>
      <c r="B58" s="124"/>
    </row>
    <row r="59" spans="1:3" ht="15" thickBot="1" x14ac:dyDescent="0.4">
      <c r="A59" s="125" t="s">
        <v>199</v>
      </c>
      <c r="B59" s="126" t="s">
        <v>201</v>
      </c>
    </row>
  </sheetData>
  <mergeCells count="3">
    <mergeCell ref="A1:B1"/>
    <mergeCell ref="A11:B11"/>
    <mergeCell ref="E1:F1"/>
  </mergeCells>
  <pageMargins left="0.7" right="0.7" top="0.75" bottom="0.75" header="0.3" footer="0.3"/>
  <pageSetup orientation="portrait"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54DF-22B1-4C79-8996-9D63A7B14261}">
  <dimension ref="A1:AA78"/>
  <sheetViews>
    <sheetView showGridLines="0" topLeftCell="A4" zoomScale="88" zoomScaleNormal="88" workbookViewId="0">
      <selection activeCell="F1" sqref="F1"/>
    </sheetView>
  </sheetViews>
  <sheetFormatPr defaultColWidth="20" defaultRowHeight="12.5" x14ac:dyDescent="0.35"/>
  <cols>
    <col min="1" max="1" width="5.54296875" style="9" customWidth="1"/>
    <col min="2" max="2" width="10.7265625" style="9" customWidth="1"/>
    <col min="3" max="3" width="13.7265625" style="9" customWidth="1"/>
    <col min="4" max="4" width="17.81640625" style="9" bestFit="1" customWidth="1"/>
    <col min="5" max="5" width="53" style="9" hidden="1" customWidth="1"/>
    <col min="6" max="6" width="75.1796875" style="12" bestFit="1" customWidth="1"/>
    <col min="7" max="7" width="23.7265625" style="12" bestFit="1" customWidth="1"/>
    <col min="8" max="8" width="13.08984375" style="12" bestFit="1" customWidth="1"/>
    <col min="9" max="9" width="48.26953125" style="12" bestFit="1" customWidth="1"/>
    <col min="10" max="10" width="24.6328125" style="12" bestFit="1" customWidth="1"/>
    <col min="11" max="11" width="14" style="12" bestFit="1" customWidth="1"/>
    <col min="12" max="12" width="17.54296875" style="12" customWidth="1"/>
    <col min="13" max="13" width="18.1796875" style="12" hidden="1" customWidth="1"/>
    <col min="14" max="14" width="14.81640625" style="12" customWidth="1"/>
    <col min="15" max="15" width="15.1796875" style="12" customWidth="1"/>
    <col min="16" max="16" width="14" style="12" bestFit="1" customWidth="1"/>
    <col min="17" max="17" width="12.81640625" style="62" customWidth="1"/>
    <col min="18" max="18" width="10.453125" style="9" bestFit="1" customWidth="1"/>
    <col min="19" max="20" width="10.54296875" style="9" hidden="1" customWidth="1"/>
    <col min="21" max="21" width="6.54296875" style="9" customWidth="1"/>
    <col min="22" max="22" width="7.81640625" style="9" customWidth="1"/>
    <col min="23" max="23" width="54.90625" style="106" customWidth="1"/>
    <col min="24" max="24" width="17.81640625" style="12" customWidth="1"/>
    <col min="25" max="25" width="18.54296875" style="12" customWidth="1"/>
    <col min="26" max="26" width="19.81640625" style="12" customWidth="1"/>
    <col min="27" max="16384" width="20" style="12"/>
  </cols>
  <sheetData>
    <row r="1" spans="1:27" s="9" customFormat="1" ht="26" x14ac:dyDescent="0.35">
      <c r="A1" s="100" t="s">
        <v>23</v>
      </c>
      <c r="B1" s="100" t="s">
        <v>204</v>
      </c>
      <c r="C1" s="128" t="s">
        <v>205</v>
      </c>
      <c r="D1" s="100" t="s">
        <v>189</v>
      </c>
      <c r="E1" s="100" t="s">
        <v>206</v>
      </c>
      <c r="F1" s="100" t="s">
        <v>24</v>
      </c>
      <c r="G1" s="100" t="s">
        <v>207</v>
      </c>
      <c r="H1" s="100" t="s">
        <v>208</v>
      </c>
      <c r="I1" s="100" t="s">
        <v>209</v>
      </c>
      <c r="J1" s="100" t="s">
        <v>210</v>
      </c>
      <c r="K1" s="100" t="s">
        <v>211</v>
      </c>
      <c r="L1" s="100" t="s">
        <v>212</v>
      </c>
      <c r="M1" s="100" t="s">
        <v>213</v>
      </c>
      <c r="N1" s="100" t="s">
        <v>214</v>
      </c>
      <c r="O1" s="100" t="s">
        <v>215</v>
      </c>
      <c r="P1" s="100" t="s">
        <v>115</v>
      </c>
      <c r="Q1" s="100" t="s">
        <v>216</v>
      </c>
      <c r="R1" s="100" t="s">
        <v>116</v>
      </c>
      <c r="S1" s="100" t="s">
        <v>217</v>
      </c>
      <c r="T1" s="100" t="s">
        <v>218</v>
      </c>
      <c r="U1" s="100" t="s">
        <v>219</v>
      </c>
      <c r="V1" s="100" t="s">
        <v>220</v>
      </c>
      <c r="W1" s="100" t="s">
        <v>221</v>
      </c>
      <c r="X1" s="100" t="s">
        <v>222</v>
      </c>
      <c r="Y1" s="100" t="s">
        <v>223</v>
      </c>
      <c r="Z1" s="100" t="s">
        <v>224</v>
      </c>
      <c r="AA1" s="100" t="s">
        <v>607</v>
      </c>
    </row>
    <row r="2" spans="1:27" ht="50" x14ac:dyDescent="0.35">
      <c r="A2" s="101">
        <v>1</v>
      </c>
      <c r="B2" s="101" t="s">
        <v>225</v>
      </c>
      <c r="C2" s="101" t="s">
        <v>322</v>
      </c>
      <c r="D2" s="111" t="s">
        <v>195</v>
      </c>
      <c r="E2" s="111" t="s">
        <v>323</v>
      </c>
      <c r="F2" s="102" t="s">
        <v>109</v>
      </c>
      <c r="G2" s="102" t="s">
        <v>324</v>
      </c>
      <c r="H2" s="102"/>
      <c r="I2" s="102" t="s">
        <v>325</v>
      </c>
      <c r="J2" s="103">
        <v>90230.000000000015</v>
      </c>
      <c r="K2" s="103">
        <v>7000000</v>
      </c>
      <c r="L2" s="104" t="s">
        <v>184</v>
      </c>
      <c r="M2" s="104" t="s">
        <v>194</v>
      </c>
      <c r="N2" s="102" t="s">
        <v>186</v>
      </c>
      <c r="O2" s="102" t="s">
        <v>170</v>
      </c>
      <c r="P2" s="102" t="s">
        <v>177</v>
      </c>
      <c r="Q2" s="102" t="s">
        <v>174</v>
      </c>
      <c r="R2" s="101" t="s">
        <v>120</v>
      </c>
      <c r="S2" s="10"/>
      <c r="T2" s="10">
        <v>1</v>
      </c>
      <c r="U2" s="53" t="s">
        <v>230</v>
      </c>
      <c r="V2" s="101" t="s">
        <v>14</v>
      </c>
      <c r="W2" s="109" t="s">
        <v>326</v>
      </c>
      <c r="X2" s="105">
        <v>44955</v>
      </c>
      <c r="Y2" s="105">
        <v>46101</v>
      </c>
      <c r="Z2" s="105" t="s">
        <v>526</v>
      </c>
      <c r="AA2" s="12" t="s">
        <v>170</v>
      </c>
    </row>
    <row r="3" spans="1:27" ht="25" x14ac:dyDescent="0.35">
      <c r="A3" s="101">
        <v>2</v>
      </c>
      <c r="B3" s="101" t="s">
        <v>232</v>
      </c>
      <c r="C3" s="101" t="s">
        <v>380</v>
      </c>
      <c r="D3" s="111" t="s">
        <v>191</v>
      </c>
      <c r="E3" s="111" t="s">
        <v>622</v>
      </c>
      <c r="F3" s="102" t="s">
        <v>381</v>
      </c>
      <c r="G3" s="102" t="s">
        <v>346</v>
      </c>
      <c r="H3" s="102" t="s">
        <v>229</v>
      </c>
      <c r="I3" s="102"/>
      <c r="J3" s="103">
        <v>4552146.5</v>
      </c>
      <c r="K3" s="103">
        <v>5402500</v>
      </c>
      <c r="L3" s="103" t="s">
        <v>184</v>
      </c>
      <c r="M3" s="104" t="s">
        <v>194</v>
      </c>
      <c r="N3" s="102" t="s">
        <v>590</v>
      </c>
      <c r="O3" s="102" t="s">
        <v>172</v>
      </c>
      <c r="P3" s="102" t="s">
        <v>176</v>
      </c>
      <c r="Q3" s="102" t="s">
        <v>171</v>
      </c>
      <c r="R3" s="101" t="s">
        <v>120</v>
      </c>
      <c r="S3" s="10">
        <v>3</v>
      </c>
      <c r="T3" s="10"/>
      <c r="U3" s="129" t="s">
        <v>611</v>
      </c>
      <c r="V3" s="101" t="s">
        <v>4</v>
      </c>
      <c r="W3" s="105" t="s">
        <v>650</v>
      </c>
      <c r="X3" s="105">
        <v>45504</v>
      </c>
      <c r="Y3" s="105">
        <v>46233</v>
      </c>
      <c r="Z3" s="102" t="s">
        <v>383</v>
      </c>
      <c r="AA3" s="12" t="s">
        <v>608</v>
      </c>
    </row>
    <row r="4" spans="1:27" ht="25" x14ac:dyDescent="0.35">
      <c r="A4" s="101">
        <v>3</v>
      </c>
      <c r="B4" s="101" t="s">
        <v>225</v>
      </c>
      <c r="C4" s="101" t="s">
        <v>424</v>
      </c>
      <c r="D4" s="111" t="s">
        <v>197</v>
      </c>
      <c r="E4" s="111" t="s">
        <v>425</v>
      </c>
      <c r="F4" s="102" t="s">
        <v>426</v>
      </c>
      <c r="G4" s="102" t="s">
        <v>427</v>
      </c>
      <c r="H4" s="102"/>
      <c r="I4" s="102"/>
      <c r="J4" s="103" t="e">
        <v>#N/A</v>
      </c>
      <c r="K4" s="103">
        <v>2500000</v>
      </c>
      <c r="L4" s="103" t="s">
        <v>184</v>
      </c>
      <c r="M4" s="104" t="s">
        <v>194</v>
      </c>
      <c r="N4" s="102" t="s">
        <v>185</v>
      </c>
      <c r="O4" s="102" t="s">
        <v>172</v>
      </c>
      <c r="P4" s="102" t="s">
        <v>176</v>
      </c>
      <c r="Q4" s="102" t="s">
        <v>173</v>
      </c>
      <c r="R4" s="101" t="s">
        <v>182</v>
      </c>
      <c r="S4" s="10"/>
      <c r="T4" s="10"/>
      <c r="U4" s="53" t="s">
        <v>230</v>
      </c>
      <c r="V4" s="101" t="s">
        <v>14</v>
      </c>
      <c r="W4" s="105" t="s">
        <v>428</v>
      </c>
      <c r="X4" s="105">
        <v>45839</v>
      </c>
      <c r="Y4" s="105">
        <v>46568</v>
      </c>
      <c r="Z4" s="102" t="s">
        <v>545</v>
      </c>
      <c r="AA4" s="12" t="s">
        <v>608</v>
      </c>
    </row>
    <row r="5" spans="1:27" x14ac:dyDescent="0.35">
      <c r="A5" s="101">
        <v>4</v>
      </c>
      <c r="B5" s="101" t="s">
        <v>225</v>
      </c>
      <c r="C5" s="101" t="s">
        <v>531</v>
      </c>
      <c r="D5" s="111" t="s">
        <v>197</v>
      </c>
      <c r="E5" s="111" t="s">
        <v>530</v>
      </c>
      <c r="F5" s="102" t="s">
        <v>527</v>
      </c>
      <c r="G5" s="102" t="s">
        <v>537</v>
      </c>
      <c r="H5" s="102"/>
      <c r="I5" s="102" t="s">
        <v>538</v>
      </c>
      <c r="J5" s="103"/>
      <c r="K5" s="103">
        <v>2500000</v>
      </c>
      <c r="L5" s="104" t="s">
        <v>184</v>
      </c>
      <c r="M5" s="104" t="s">
        <v>194</v>
      </c>
      <c r="N5" s="104" t="s">
        <v>589</v>
      </c>
      <c r="O5" s="102" t="s">
        <v>172</v>
      </c>
      <c r="P5" s="102" t="s">
        <v>176</v>
      </c>
      <c r="Q5" s="102" t="s">
        <v>173</v>
      </c>
      <c r="R5" s="101" t="s">
        <v>120</v>
      </c>
      <c r="S5" s="101"/>
      <c r="T5" s="101"/>
      <c r="U5" s="53" t="s">
        <v>230</v>
      </c>
      <c r="V5" s="101" t="s">
        <v>14</v>
      </c>
      <c r="W5" s="105" t="s">
        <v>568</v>
      </c>
      <c r="X5" s="105">
        <v>44865</v>
      </c>
      <c r="Y5" s="105">
        <v>46142</v>
      </c>
      <c r="Z5" s="102" t="s">
        <v>550</v>
      </c>
      <c r="AA5" s="12" t="s">
        <v>608</v>
      </c>
    </row>
    <row r="6" spans="1:27" ht="25" x14ac:dyDescent="0.35">
      <c r="A6" s="101">
        <v>5</v>
      </c>
      <c r="B6" s="101" t="s">
        <v>225</v>
      </c>
      <c r="C6" s="101" t="s">
        <v>443</v>
      </c>
      <c r="D6" s="111" t="s">
        <v>191</v>
      </c>
      <c r="E6" s="164" t="s">
        <v>88</v>
      </c>
      <c r="F6" s="102" t="s">
        <v>79</v>
      </c>
      <c r="G6" s="166" t="s">
        <v>444</v>
      </c>
      <c r="H6" s="102"/>
      <c r="I6" s="109" t="s">
        <v>445</v>
      </c>
      <c r="J6" s="103">
        <v>1782730</v>
      </c>
      <c r="K6" s="103">
        <v>2300000</v>
      </c>
      <c r="L6" s="104" t="s">
        <v>180</v>
      </c>
      <c r="M6" s="104" t="s">
        <v>194</v>
      </c>
      <c r="N6" s="102" t="s">
        <v>180</v>
      </c>
      <c r="O6" s="102" t="s">
        <v>172</v>
      </c>
      <c r="P6" s="102" t="s">
        <v>176</v>
      </c>
      <c r="Q6" s="102" t="s">
        <v>173</v>
      </c>
      <c r="R6" s="101" t="s">
        <v>120</v>
      </c>
      <c r="S6" s="131">
        <v>2</v>
      </c>
      <c r="T6" s="131">
        <v>5</v>
      </c>
      <c r="U6" s="53" t="s">
        <v>230</v>
      </c>
      <c r="V6" s="101" t="s">
        <v>14</v>
      </c>
      <c r="W6" s="105" t="s">
        <v>446</v>
      </c>
      <c r="X6" s="105">
        <v>45804</v>
      </c>
      <c r="Y6" s="105">
        <v>46533</v>
      </c>
      <c r="Z6" s="105" t="s">
        <v>383</v>
      </c>
      <c r="AA6" s="12" t="s">
        <v>608</v>
      </c>
    </row>
    <row r="7" spans="1:27" x14ac:dyDescent="0.35">
      <c r="A7" s="101">
        <v>6</v>
      </c>
      <c r="B7" s="101" t="s">
        <v>232</v>
      </c>
      <c r="C7" s="101" t="s">
        <v>233</v>
      </c>
      <c r="D7" s="111" t="s">
        <v>195</v>
      </c>
      <c r="E7" s="111" t="s">
        <v>234</v>
      </c>
      <c r="F7" s="102" t="s">
        <v>235</v>
      </c>
      <c r="G7" s="102"/>
      <c r="H7" s="102" t="s">
        <v>229</v>
      </c>
      <c r="I7" s="102"/>
      <c r="J7" s="103">
        <v>589279.99999999988</v>
      </c>
      <c r="K7" s="103">
        <v>1600000</v>
      </c>
      <c r="L7" s="103" t="s">
        <v>184</v>
      </c>
      <c r="M7" s="104" t="s">
        <v>193</v>
      </c>
      <c r="N7" s="102" t="s">
        <v>590</v>
      </c>
      <c r="O7" s="102" t="s">
        <v>170</v>
      </c>
      <c r="P7" s="102" t="s">
        <v>177</v>
      </c>
      <c r="Q7" s="102" t="s">
        <v>174</v>
      </c>
      <c r="R7" s="101" t="s">
        <v>120</v>
      </c>
      <c r="S7" s="101">
        <v>12</v>
      </c>
      <c r="T7" s="101">
        <v>14</v>
      </c>
      <c r="U7" s="53" t="s">
        <v>230</v>
      </c>
      <c r="V7" s="101" t="s">
        <v>14</v>
      </c>
      <c r="W7" s="105" t="s">
        <v>236</v>
      </c>
      <c r="X7" s="105">
        <v>45748</v>
      </c>
      <c r="Y7" s="105">
        <v>46295</v>
      </c>
      <c r="Z7" s="102" t="s">
        <v>526</v>
      </c>
      <c r="AA7" s="12" t="s">
        <v>170</v>
      </c>
    </row>
    <row r="8" spans="1:27" ht="50" x14ac:dyDescent="0.35">
      <c r="A8" s="101">
        <v>7</v>
      </c>
      <c r="B8" s="101" t="s">
        <v>225</v>
      </c>
      <c r="C8" s="101" t="s">
        <v>405</v>
      </c>
      <c r="D8" s="111" t="s">
        <v>198</v>
      </c>
      <c r="E8" s="111" t="s">
        <v>406</v>
      </c>
      <c r="F8" s="102" t="s">
        <v>37</v>
      </c>
      <c r="G8" s="102" t="s">
        <v>407</v>
      </c>
      <c r="H8" s="102"/>
      <c r="I8" s="109" t="s">
        <v>408</v>
      </c>
      <c r="J8" s="103">
        <v>924189</v>
      </c>
      <c r="K8" s="103">
        <v>1470000</v>
      </c>
      <c r="L8" s="104" t="s">
        <v>180</v>
      </c>
      <c r="M8" s="104" t="s">
        <v>194</v>
      </c>
      <c r="N8" s="102" t="s">
        <v>180</v>
      </c>
      <c r="O8" s="102" t="s">
        <v>170</v>
      </c>
      <c r="P8" s="102" t="s">
        <v>176</v>
      </c>
      <c r="Q8" s="102" t="s">
        <v>173</v>
      </c>
      <c r="R8" s="101" t="s">
        <v>120</v>
      </c>
      <c r="S8" s="101">
        <v>2</v>
      </c>
      <c r="T8" s="101">
        <v>4</v>
      </c>
      <c r="U8" s="53" t="s">
        <v>230</v>
      </c>
      <c r="V8" s="101" t="s">
        <v>14</v>
      </c>
      <c r="W8" s="109" t="s">
        <v>409</v>
      </c>
      <c r="X8" s="105">
        <v>45229</v>
      </c>
      <c r="Y8" s="105">
        <v>46325</v>
      </c>
      <c r="Z8" s="105" t="s">
        <v>525</v>
      </c>
      <c r="AA8" s="12" t="s">
        <v>170</v>
      </c>
    </row>
    <row r="9" spans="1:27" ht="25" x14ac:dyDescent="0.35">
      <c r="A9" s="101">
        <v>8</v>
      </c>
      <c r="B9" s="101" t="s">
        <v>225</v>
      </c>
      <c r="C9" s="101" t="s">
        <v>420</v>
      </c>
      <c r="D9" s="111" t="s">
        <v>195</v>
      </c>
      <c r="E9" s="111" t="s">
        <v>421</v>
      </c>
      <c r="F9" s="112" t="s">
        <v>47</v>
      </c>
      <c r="G9" s="112" t="s">
        <v>244</v>
      </c>
      <c r="H9" s="112"/>
      <c r="I9" s="112" t="s">
        <v>422</v>
      </c>
      <c r="J9" s="103">
        <v>182649.99999999994</v>
      </c>
      <c r="K9" s="103">
        <v>1300000</v>
      </c>
      <c r="L9" s="104" t="s">
        <v>180</v>
      </c>
      <c r="M9" s="104" t="s">
        <v>193</v>
      </c>
      <c r="N9" s="102" t="s">
        <v>180</v>
      </c>
      <c r="O9" s="102" t="s">
        <v>170</v>
      </c>
      <c r="P9" s="102" t="s">
        <v>177</v>
      </c>
      <c r="Q9" s="102" t="s">
        <v>171</v>
      </c>
      <c r="R9" s="101" t="s">
        <v>120</v>
      </c>
      <c r="S9" s="101">
        <v>1</v>
      </c>
      <c r="T9" s="101">
        <v>6</v>
      </c>
      <c r="U9" s="53" t="s">
        <v>230</v>
      </c>
      <c r="V9" s="101" t="s">
        <v>14</v>
      </c>
      <c r="W9" s="109" t="s">
        <v>423</v>
      </c>
      <c r="X9" s="105">
        <v>45253</v>
      </c>
      <c r="Y9" s="105">
        <v>46349</v>
      </c>
      <c r="Z9" s="105" t="s">
        <v>526</v>
      </c>
      <c r="AA9" s="12" t="s">
        <v>170</v>
      </c>
    </row>
    <row r="10" spans="1:27" ht="25" x14ac:dyDescent="0.35">
      <c r="A10" s="101">
        <v>9</v>
      </c>
      <c r="B10" s="101" t="s">
        <v>225</v>
      </c>
      <c r="C10" s="101" t="s">
        <v>358</v>
      </c>
      <c r="D10" s="111" t="s">
        <v>196</v>
      </c>
      <c r="E10" s="111" t="s">
        <v>359</v>
      </c>
      <c r="F10" s="102" t="s">
        <v>594</v>
      </c>
      <c r="G10" s="102" t="s">
        <v>360</v>
      </c>
      <c r="H10" s="102"/>
      <c r="I10" s="109" t="s">
        <v>361</v>
      </c>
      <c r="J10" s="103">
        <v>989300</v>
      </c>
      <c r="K10" s="103">
        <v>1000000</v>
      </c>
      <c r="L10" s="104" t="s">
        <v>184</v>
      </c>
      <c r="M10" s="104" t="s">
        <v>193</v>
      </c>
      <c r="N10" s="102" t="s">
        <v>589</v>
      </c>
      <c r="O10" s="102" t="s">
        <v>170</v>
      </c>
      <c r="P10" s="102" t="s">
        <v>176</v>
      </c>
      <c r="Q10" s="102" t="s">
        <v>173</v>
      </c>
      <c r="R10" s="101" t="s">
        <v>120</v>
      </c>
      <c r="S10" s="101">
        <v>0.5</v>
      </c>
      <c r="T10" s="101">
        <v>2</v>
      </c>
      <c r="U10" s="53" t="s">
        <v>230</v>
      </c>
      <c r="V10" s="101" t="s">
        <v>14</v>
      </c>
      <c r="W10" s="105" t="s">
        <v>362</v>
      </c>
      <c r="X10" s="105">
        <v>45688</v>
      </c>
      <c r="Y10" s="105">
        <v>46417</v>
      </c>
      <c r="Z10" s="105" t="s">
        <v>525</v>
      </c>
      <c r="AA10" s="12" t="s">
        <v>170</v>
      </c>
    </row>
    <row r="11" spans="1:27" ht="26.5" customHeight="1" x14ac:dyDescent="0.35">
      <c r="A11" s="101">
        <v>10</v>
      </c>
      <c r="B11" s="101" t="s">
        <v>232</v>
      </c>
      <c r="C11" s="101" t="s">
        <v>410</v>
      </c>
      <c r="D11" s="111" t="s">
        <v>198</v>
      </c>
      <c r="E11" s="111" t="s">
        <v>411</v>
      </c>
      <c r="F11" s="102" t="s">
        <v>412</v>
      </c>
      <c r="G11" s="102" t="s">
        <v>407</v>
      </c>
      <c r="H11" s="102" t="s">
        <v>229</v>
      </c>
      <c r="I11" s="102"/>
      <c r="J11" s="103">
        <v>610555.20000000007</v>
      </c>
      <c r="K11" s="103">
        <v>622000</v>
      </c>
      <c r="L11" s="103" t="s">
        <v>184</v>
      </c>
      <c r="M11" s="104" t="s">
        <v>194</v>
      </c>
      <c r="N11" s="102" t="s">
        <v>590</v>
      </c>
      <c r="O11" s="102" t="s">
        <v>170</v>
      </c>
      <c r="P11" s="102" t="s">
        <v>176</v>
      </c>
      <c r="Q11" s="102" t="s">
        <v>171</v>
      </c>
      <c r="R11" s="101" t="s">
        <v>627</v>
      </c>
      <c r="S11" s="101">
        <v>3</v>
      </c>
      <c r="T11" s="101"/>
      <c r="U11" s="53" t="s">
        <v>230</v>
      </c>
      <c r="V11" s="101" t="s">
        <v>14</v>
      </c>
      <c r="W11" s="105" t="s">
        <v>629</v>
      </c>
      <c r="X11" s="105">
        <v>45792</v>
      </c>
      <c r="Y11" s="105">
        <v>46156</v>
      </c>
      <c r="Z11" s="102" t="s">
        <v>192</v>
      </c>
      <c r="AA11" s="12" t="s">
        <v>608</v>
      </c>
    </row>
    <row r="12" spans="1:27" ht="21.5" customHeight="1" x14ac:dyDescent="0.35">
      <c r="A12" s="101">
        <v>11</v>
      </c>
      <c r="B12" s="101" t="s">
        <v>225</v>
      </c>
      <c r="C12" s="101" t="s">
        <v>532</v>
      </c>
      <c r="D12" s="111" t="s">
        <v>197</v>
      </c>
      <c r="E12" s="111" t="s">
        <v>533</v>
      </c>
      <c r="F12" s="102" t="s">
        <v>528</v>
      </c>
      <c r="G12" s="102" t="s">
        <v>535</v>
      </c>
      <c r="H12" s="102"/>
      <c r="I12" s="102" t="s">
        <v>536</v>
      </c>
      <c r="J12" s="103"/>
      <c r="K12" s="103">
        <v>550000</v>
      </c>
      <c r="L12" s="104" t="s">
        <v>184</v>
      </c>
      <c r="M12" s="104" t="s">
        <v>194</v>
      </c>
      <c r="N12" s="104" t="s">
        <v>589</v>
      </c>
      <c r="O12" s="102" t="s">
        <v>172</v>
      </c>
      <c r="P12" s="102" t="s">
        <v>176</v>
      </c>
      <c r="Q12" s="102" t="s">
        <v>173</v>
      </c>
      <c r="R12" s="101" t="s">
        <v>120</v>
      </c>
      <c r="S12" s="101"/>
      <c r="T12" s="101"/>
      <c r="U12" s="53" t="s">
        <v>230</v>
      </c>
      <c r="V12" s="101" t="s">
        <v>14</v>
      </c>
      <c r="W12" s="105"/>
      <c r="X12" s="105">
        <v>45987</v>
      </c>
      <c r="Y12" s="105">
        <v>46351</v>
      </c>
      <c r="Z12" s="102" t="s">
        <v>549</v>
      </c>
      <c r="AA12" s="12" t="s">
        <v>608</v>
      </c>
    </row>
    <row r="13" spans="1:27" ht="25.5" x14ac:dyDescent="0.35">
      <c r="A13" s="101">
        <v>12</v>
      </c>
      <c r="B13" s="101" t="s">
        <v>225</v>
      </c>
      <c r="C13" s="101" t="s">
        <v>384</v>
      </c>
      <c r="D13" s="111" t="s">
        <v>197</v>
      </c>
      <c r="E13" s="111" t="s">
        <v>385</v>
      </c>
      <c r="F13" s="102" t="s">
        <v>81</v>
      </c>
      <c r="G13" s="102" t="s">
        <v>386</v>
      </c>
      <c r="H13" s="102" t="s">
        <v>387</v>
      </c>
      <c r="I13" s="109" t="s">
        <v>388</v>
      </c>
      <c r="J13" s="103">
        <v>58333.45</v>
      </c>
      <c r="K13" s="103">
        <v>500000</v>
      </c>
      <c r="L13" s="104" t="s">
        <v>184</v>
      </c>
      <c r="M13" s="104" t="s">
        <v>194</v>
      </c>
      <c r="N13" s="102" t="s">
        <v>185</v>
      </c>
      <c r="O13" s="102" t="s">
        <v>172</v>
      </c>
      <c r="P13" s="102" t="s">
        <v>176</v>
      </c>
      <c r="Q13" s="102" t="s">
        <v>173</v>
      </c>
      <c r="R13" s="101" t="s">
        <v>120</v>
      </c>
      <c r="S13" s="101"/>
      <c r="T13" s="101"/>
      <c r="U13" s="181" t="s">
        <v>611</v>
      </c>
      <c r="V13" s="101" t="s">
        <v>14</v>
      </c>
      <c r="W13" s="105" t="s">
        <v>653</v>
      </c>
      <c r="X13" s="105">
        <v>45688</v>
      </c>
      <c r="Y13" s="105">
        <v>46782</v>
      </c>
      <c r="Z13" s="105" t="s">
        <v>545</v>
      </c>
      <c r="AA13" s="12" t="s">
        <v>608</v>
      </c>
    </row>
    <row r="14" spans="1:27" ht="25" x14ac:dyDescent="0.35">
      <c r="A14" s="101">
        <v>13</v>
      </c>
      <c r="B14" s="101" t="s">
        <v>225</v>
      </c>
      <c r="C14" s="101" t="s">
        <v>237</v>
      </c>
      <c r="D14" s="111" t="s">
        <v>195</v>
      </c>
      <c r="E14" s="111" t="s">
        <v>238</v>
      </c>
      <c r="F14" s="102" t="s">
        <v>106</v>
      </c>
      <c r="G14" s="102" t="s">
        <v>239</v>
      </c>
      <c r="H14" s="102"/>
      <c r="I14" s="109" t="s">
        <v>240</v>
      </c>
      <c r="J14" s="103">
        <v>610000</v>
      </c>
      <c r="K14" s="103">
        <v>457500</v>
      </c>
      <c r="L14" s="104" t="s">
        <v>184</v>
      </c>
      <c r="M14" s="104" t="s">
        <v>194</v>
      </c>
      <c r="N14" s="102" t="s">
        <v>185</v>
      </c>
      <c r="O14" s="102" t="s">
        <v>172</v>
      </c>
      <c r="P14" s="102" t="s">
        <v>176</v>
      </c>
      <c r="Q14" s="102" t="s">
        <v>173</v>
      </c>
      <c r="R14" s="101" t="s">
        <v>120</v>
      </c>
      <c r="S14" s="101">
        <v>2</v>
      </c>
      <c r="T14" s="101">
        <v>1</v>
      </c>
      <c r="U14" s="53" t="s">
        <v>230</v>
      </c>
      <c r="V14" s="101" t="s">
        <v>14</v>
      </c>
      <c r="W14" s="105" t="s">
        <v>241</v>
      </c>
      <c r="X14" s="105">
        <v>45888</v>
      </c>
      <c r="Y14" s="105">
        <v>46617</v>
      </c>
      <c r="Z14" s="105" t="s">
        <v>548</v>
      </c>
      <c r="AA14" s="12" t="s">
        <v>608</v>
      </c>
    </row>
    <row r="15" spans="1:27" ht="25" x14ac:dyDescent="0.35">
      <c r="A15" s="101">
        <v>14</v>
      </c>
      <c r="B15" s="101" t="s">
        <v>225</v>
      </c>
      <c r="C15" s="101" t="s">
        <v>602</v>
      </c>
      <c r="D15" s="111" t="s">
        <v>195</v>
      </c>
      <c r="E15" s="111" t="s">
        <v>363</v>
      </c>
      <c r="F15" s="110" t="s">
        <v>601</v>
      </c>
      <c r="G15" s="102" t="s">
        <v>365</v>
      </c>
      <c r="H15" s="102" t="s">
        <v>229</v>
      </c>
      <c r="I15" s="109" t="s">
        <v>603</v>
      </c>
      <c r="J15" s="103"/>
      <c r="K15" s="103">
        <v>420000</v>
      </c>
      <c r="L15" s="104" t="s">
        <v>180</v>
      </c>
      <c r="M15" s="104" t="s">
        <v>193</v>
      </c>
      <c r="N15" s="104" t="s">
        <v>180</v>
      </c>
      <c r="O15" s="102" t="s">
        <v>170</v>
      </c>
      <c r="P15" s="102" t="s">
        <v>122</v>
      </c>
      <c r="Q15" s="102" t="s">
        <v>171</v>
      </c>
      <c r="R15" s="101" t="s">
        <v>120</v>
      </c>
      <c r="S15" s="101"/>
      <c r="T15" s="101"/>
      <c r="U15" s="53" t="s">
        <v>230</v>
      </c>
      <c r="V15" s="101" t="s">
        <v>14</v>
      </c>
      <c r="W15" s="109" t="s">
        <v>604</v>
      </c>
      <c r="X15" s="127">
        <v>46062</v>
      </c>
      <c r="Y15" s="127">
        <v>46454</v>
      </c>
      <c r="Z15" s="105" t="s">
        <v>524</v>
      </c>
      <c r="AA15" s="12" t="s">
        <v>170</v>
      </c>
    </row>
    <row r="16" spans="1:27" ht="37.5" x14ac:dyDescent="0.35">
      <c r="A16" s="101">
        <v>15</v>
      </c>
      <c r="B16" s="101" t="s">
        <v>225</v>
      </c>
      <c r="C16" s="101" t="s">
        <v>596</v>
      </c>
      <c r="D16" s="111" t="s">
        <v>197</v>
      </c>
      <c r="E16" s="111" t="s">
        <v>597</v>
      </c>
      <c r="F16" s="102" t="s">
        <v>595</v>
      </c>
      <c r="G16" s="102" t="s">
        <v>598</v>
      </c>
      <c r="H16" s="102"/>
      <c r="I16" s="109" t="s">
        <v>599</v>
      </c>
      <c r="J16" s="103"/>
      <c r="K16" s="103">
        <v>410400</v>
      </c>
      <c r="L16" s="104" t="s">
        <v>184</v>
      </c>
      <c r="M16" s="104" t="s">
        <v>194</v>
      </c>
      <c r="N16" s="102" t="s">
        <v>185</v>
      </c>
      <c r="O16" s="102" t="s">
        <v>172</v>
      </c>
      <c r="P16" s="102" t="s">
        <v>176</v>
      </c>
      <c r="Q16" s="102" t="s">
        <v>171</v>
      </c>
      <c r="R16" s="101" t="s">
        <v>179</v>
      </c>
      <c r="S16" s="101"/>
      <c r="T16" s="101"/>
      <c r="U16" s="53" t="s">
        <v>230</v>
      </c>
      <c r="V16" s="101" t="s">
        <v>14</v>
      </c>
      <c r="W16" s="105" t="s">
        <v>600</v>
      </c>
      <c r="X16" s="105">
        <v>46055</v>
      </c>
      <c r="Y16" s="105">
        <v>46784</v>
      </c>
      <c r="Z16" s="102" t="s">
        <v>549</v>
      </c>
      <c r="AA16" s="12" t="s">
        <v>608</v>
      </c>
    </row>
    <row r="17" spans="1:27" x14ac:dyDescent="0.35">
      <c r="A17" s="101">
        <v>16</v>
      </c>
      <c r="B17" s="101" t="s">
        <v>232</v>
      </c>
      <c r="C17" s="101" t="s">
        <v>570</v>
      </c>
      <c r="D17" s="111" t="s">
        <v>191</v>
      </c>
      <c r="E17" s="111" t="s">
        <v>571</v>
      </c>
      <c r="F17" s="102" t="s">
        <v>569</v>
      </c>
      <c r="G17" s="102" t="s">
        <v>574</v>
      </c>
      <c r="H17" s="102" t="s">
        <v>245</v>
      </c>
      <c r="I17" s="102" t="s">
        <v>573</v>
      </c>
      <c r="J17" s="103"/>
      <c r="K17" s="103">
        <v>400000</v>
      </c>
      <c r="L17" s="104" t="s">
        <v>184</v>
      </c>
      <c r="M17" s="104" t="s">
        <v>194</v>
      </c>
      <c r="N17" s="102" t="s">
        <v>590</v>
      </c>
      <c r="O17" s="102" t="s">
        <v>170</v>
      </c>
      <c r="P17" s="102" t="s">
        <v>176</v>
      </c>
      <c r="Q17" s="102" t="s">
        <v>173</v>
      </c>
      <c r="R17" s="101" t="s">
        <v>120</v>
      </c>
      <c r="S17" s="101">
        <v>0.5</v>
      </c>
      <c r="T17" s="101">
        <v>2</v>
      </c>
      <c r="U17" s="53" t="s">
        <v>230</v>
      </c>
      <c r="V17" s="101" t="s">
        <v>14</v>
      </c>
      <c r="W17" s="105" t="s">
        <v>572</v>
      </c>
      <c r="X17" s="105">
        <v>45993</v>
      </c>
      <c r="Y17" s="105">
        <v>46377</v>
      </c>
      <c r="Z17" s="102" t="s">
        <v>452</v>
      </c>
      <c r="AA17" s="12" t="s">
        <v>170</v>
      </c>
    </row>
    <row r="18" spans="1:27" ht="25" x14ac:dyDescent="0.35">
      <c r="A18" s="101">
        <v>17</v>
      </c>
      <c r="B18" s="101" t="s">
        <v>225</v>
      </c>
      <c r="C18" s="101" t="s">
        <v>226</v>
      </c>
      <c r="D18" s="111" t="s">
        <v>195</v>
      </c>
      <c r="E18" s="111" t="s">
        <v>227</v>
      </c>
      <c r="F18" s="102" t="s">
        <v>93</v>
      </c>
      <c r="G18" s="102" t="s">
        <v>228</v>
      </c>
      <c r="H18" s="102" t="s">
        <v>229</v>
      </c>
      <c r="I18" s="102"/>
      <c r="J18" s="103">
        <v>355500.56</v>
      </c>
      <c r="K18" s="103">
        <v>359600</v>
      </c>
      <c r="L18" s="104" t="s">
        <v>184</v>
      </c>
      <c r="M18" s="104" t="s">
        <v>194</v>
      </c>
      <c r="N18" s="102" t="s">
        <v>185</v>
      </c>
      <c r="O18" s="102" t="s">
        <v>172</v>
      </c>
      <c r="P18" s="102" t="s">
        <v>176</v>
      </c>
      <c r="Q18" s="102" t="s">
        <v>173</v>
      </c>
      <c r="R18" s="101" t="s">
        <v>120</v>
      </c>
      <c r="S18" s="101"/>
      <c r="T18" s="101">
        <v>1</v>
      </c>
      <c r="U18" s="53" t="s">
        <v>230</v>
      </c>
      <c r="V18" s="101" t="s">
        <v>14</v>
      </c>
      <c r="W18" s="105" t="s">
        <v>231</v>
      </c>
      <c r="X18" s="105">
        <v>45924</v>
      </c>
      <c r="Y18" s="105">
        <v>46653</v>
      </c>
      <c r="Z18" s="102" t="s">
        <v>547</v>
      </c>
      <c r="AA18" s="12" t="s">
        <v>608</v>
      </c>
    </row>
    <row r="19" spans="1:27" ht="25" x14ac:dyDescent="0.35">
      <c r="A19" s="101">
        <v>18</v>
      </c>
      <c r="B19" s="101" t="s">
        <v>225</v>
      </c>
      <c r="C19" s="101" t="s">
        <v>542</v>
      </c>
      <c r="D19" s="111" t="s">
        <v>191</v>
      </c>
      <c r="E19" s="164" t="s">
        <v>354</v>
      </c>
      <c r="F19" s="104" t="s">
        <v>523</v>
      </c>
      <c r="G19" s="165" t="s">
        <v>355</v>
      </c>
      <c r="H19" s="104"/>
      <c r="I19" s="112" t="s">
        <v>356</v>
      </c>
      <c r="J19" s="103"/>
      <c r="K19" s="103">
        <v>300000</v>
      </c>
      <c r="L19" s="104" t="s">
        <v>184</v>
      </c>
      <c r="M19" s="104" t="s">
        <v>193</v>
      </c>
      <c r="N19" s="102" t="s">
        <v>589</v>
      </c>
      <c r="O19" s="102" t="s">
        <v>170</v>
      </c>
      <c r="P19" s="102" t="s">
        <v>177</v>
      </c>
      <c r="Q19" s="102" t="s">
        <v>174</v>
      </c>
      <c r="R19" s="101" t="s">
        <v>120</v>
      </c>
      <c r="S19" s="101"/>
      <c r="T19" s="101"/>
      <c r="U19" s="53" t="s">
        <v>230</v>
      </c>
      <c r="V19" s="101" t="s">
        <v>14</v>
      </c>
      <c r="W19" s="109" t="s">
        <v>357</v>
      </c>
      <c r="X19" s="105">
        <v>46002</v>
      </c>
      <c r="Y19" s="105">
        <v>46731</v>
      </c>
      <c r="Z19" s="105" t="s">
        <v>525</v>
      </c>
      <c r="AA19" s="12" t="s">
        <v>170</v>
      </c>
    </row>
    <row r="20" spans="1:27" x14ac:dyDescent="0.35">
      <c r="A20" s="101">
        <v>19</v>
      </c>
      <c r="B20" s="101" t="s">
        <v>232</v>
      </c>
      <c r="C20" s="101" t="s">
        <v>242</v>
      </c>
      <c r="D20" s="111" t="s">
        <v>195</v>
      </c>
      <c r="E20" s="111" t="s">
        <v>238</v>
      </c>
      <c r="F20" s="102" t="s">
        <v>243</v>
      </c>
      <c r="G20" s="102" t="s">
        <v>244</v>
      </c>
      <c r="H20" s="102" t="s">
        <v>245</v>
      </c>
      <c r="I20" s="102" t="s">
        <v>246</v>
      </c>
      <c r="J20" s="103">
        <v>252398.965</v>
      </c>
      <c r="K20" s="103">
        <v>299975</v>
      </c>
      <c r="L20" s="103" t="s">
        <v>184</v>
      </c>
      <c r="M20" s="104" t="s">
        <v>194</v>
      </c>
      <c r="N20" s="102" t="s">
        <v>247</v>
      </c>
      <c r="O20" s="102" t="s">
        <v>172</v>
      </c>
      <c r="P20" s="102" t="s">
        <v>176</v>
      </c>
      <c r="Q20" s="102" t="s">
        <v>171</v>
      </c>
      <c r="R20" s="101" t="s">
        <v>120</v>
      </c>
      <c r="S20" s="101">
        <v>2</v>
      </c>
      <c r="T20" s="101">
        <v>1</v>
      </c>
      <c r="U20" s="53" t="s">
        <v>230</v>
      </c>
      <c r="V20" s="101" t="s">
        <v>14</v>
      </c>
      <c r="W20" s="105"/>
      <c r="X20" s="105">
        <v>45813</v>
      </c>
      <c r="Y20" s="105">
        <v>46551</v>
      </c>
      <c r="Z20" s="102" t="s">
        <v>248</v>
      </c>
      <c r="AA20" s="12" t="s">
        <v>170</v>
      </c>
    </row>
    <row r="21" spans="1:27" ht="25" x14ac:dyDescent="0.35">
      <c r="A21" s="101">
        <v>20</v>
      </c>
      <c r="B21" s="101" t="s">
        <v>225</v>
      </c>
      <c r="C21" s="101" t="s">
        <v>260</v>
      </c>
      <c r="D21" s="111" t="s">
        <v>197</v>
      </c>
      <c r="E21" s="111" t="s">
        <v>261</v>
      </c>
      <c r="F21" s="102" t="s">
        <v>262</v>
      </c>
      <c r="G21" s="102" t="s">
        <v>263</v>
      </c>
      <c r="H21" s="102" t="s">
        <v>257</v>
      </c>
      <c r="I21" s="109" t="s">
        <v>264</v>
      </c>
      <c r="J21" s="103">
        <v>231899.59800000003</v>
      </c>
      <c r="K21" s="103">
        <v>278029</v>
      </c>
      <c r="L21" s="104" t="s">
        <v>184</v>
      </c>
      <c r="M21" s="104" t="s">
        <v>194</v>
      </c>
      <c r="N21" s="102" t="s">
        <v>589</v>
      </c>
      <c r="O21" s="102" t="s">
        <v>170</v>
      </c>
      <c r="P21" s="102" t="s">
        <v>176</v>
      </c>
      <c r="Q21" s="102" t="s">
        <v>171</v>
      </c>
      <c r="R21" s="101" t="s">
        <v>120</v>
      </c>
      <c r="S21" s="101"/>
      <c r="T21" s="101"/>
      <c r="U21" s="53" t="s">
        <v>230</v>
      </c>
      <c r="V21" s="101" t="s">
        <v>14</v>
      </c>
      <c r="W21" s="105" t="s">
        <v>265</v>
      </c>
      <c r="X21" s="105">
        <v>45734</v>
      </c>
      <c r="Y21" s="105">
        <v>46464</v>
      </c>
      <c r="Z21" s="105" t="s">
        <v>452</v>
      </c>
      <c r="AA21" s="12" t="s">
        <v>170</v>
      </c>
    </row>
    <row r="22" spans="1:27" ht="25" x14ac:dyDescent="0.35">
      <c r="A22" s="101">
        <v>21</v>
      </c>
      <c r="B22" s="101" t="s">
        <v>225</v>
      </c>
      <c r="C22" s="101" t="s">
        <v>266</v>
      </c>
      <c r="D22" s="111" t="s">
        <v>197</v>
      </c>
      <c r="E22" s="111" t="s">
        <v>261</v>
      </c>
      <c r="F22" s="102" t="s">
        <v>59</v>
      </c>
      <c r="G22" s="102" t="s">
        <v>263</v>
      </c>
      <c r="H22" s="102" t="s">
        <v>257</v>
      </c>
      <c r="I22" s="109" t="s">
        <v>264</v>
      </c>
      <c r="J22" s="103">
        <v>198977.72700000001</v>
      </c>
      <c r="K22" s="103">
        <v>273810</v>
      </c>
      <c r="L22" s="104" t="s">
        <v>184</v>
      </c>
      <c r="M22" s="104" t="s">
        <v>194</v>
      </c>
      <c r="N22" s="102" t="s">
        <v>589</v>
      </c>
      <c r="O22" s="102" t="s">
        <v>170</v>
      </c>
      <c r="P22" s="102" t="s">
        <v>176</v>
      </c>
      <c r="Q22" s="102" t="s">
        <v>171</v>
      </c>
      <c r="R22" s="101" t="s">
        <v>120</v>
      </c>
      <c r="S22" s="101"/>
      <c r="T22" s="101"/>
      <c r="U22" s="53" t="s">
        <v>230</v>
      </c>
      <c r="V22" s="101" t="s">
        <v>14</v>
      </c>
      <c r="W22" s="105" t="s">
        <v>265</v>
      </c>
      <c r="X22" s="105">
        <v>45734</v>
      </c>
      <c r="Y22" s="105">
        <v>46099</v>
      </c>
      <c r="Z22" s="105" t="s">
        <v>452</v>
      </c>
      <c r="AA22" s="12" t="s">
        <v>170</v>
      </c>
    </row>
    <row r="23" spans="1:27" ht="25" x14ac:dyDescent="0.35">
      <c r="A23" s="101">
        <v>22</v>
      </c>
      <c r="B23" s="101" t="s">
        <v>225</v>
      </c>
      <c r="C23" s="101" t="s">
        <v>585</v>
      </c>
      <c r="D23" s="111" t="s">
        <v>197</v>
      </c>
      <c r="E23" s="111" t="s">
        <v>522</v>
      </c>
      <c r="F23" s="110" t="s">
        <v>584</v>
      </c>
      <c r="G23" s="102" t="s">
        <v>586</v>
      </c>
      <c r="H23" s="102"/>
      <c r="I23" s="109" t="s">
        <v>587</v>
      </c>
      <c r="J23" s="103"/>
      <c r="K23" s="103">
        <v>225000</v>
      </c>
      <c r="L23" s="104" t="s">
        <v>184</v>
      </c>
      <c r="M23" s="104" t="s">
        <v>194</v>
      </c>
      <c r="N23" s="104" t="s">
        <v>589</v>
      </c>
      <c r="O23" s="102" t="s">
        <v>172</v>
      </c>
      <c r="P23" s="102" t="s">
        <v>176</v>
      </c>
      <c r="Q23" s="102" t="s">
        <v>174</v>
      </c>
      <c r="R23" s="101" t="s">
        <v>120</v>
      </c>
      <c r="S23" s="101">
        <v>3.5</v>
      </c>
      <c r="T23" s="101">
        <v>0.5</v>
      </c>
      <c r="U23" s="53" t="s">
        <v>230</v>
      </c>
      <c r="V23" s="101" t="s">
        <v>14</v>
      </c>
      <c r="W23" s="109" t="s">
        <v>588</v>
      </c>
      <c r="X23" s="127">
        <v>45995</v>
      </c>
      <c r="Y23" s="127">
        <v>46480</v>
      </c>
      <c r="Z23" s="105" t="s">
        <v>545</v>
      </c>
      <c r="AA23" s="12" t="s">
        <v>608</v>
      </c>
    </row>
    <row r="24" spans="1:27" ht="25" x14ac:dyDescent="0.35">
      <c r="A24" s="101">
        <v>23</v>
      </c>
      <c r="B24" s="101" t="s">
        <v>225</v>
      </c>
      <c r="C24" s="101" t="s">
        <v>453</v>
      </c>
      <c r="D24" s="111" t="s">
        <v>195</v>
      </c>
      <c r="E24" s="111" t="s">
        <v>454</v>
      </c>
      <c r="F24" s="102" t="s">
        <v>67</v>
      </c>
      <c r="G24" s="102" t="s">
        <v>365</v>
      </c>
      <c r="H24" s="102" t="s">
        <v>229</v>
      </c>
      <c r="I24" s="102"/>
      <c r="J24" s="103">
        <v>229726.80000000002</v>
      </c>
      <c r="K24" s="103">
        <v>196432</v>
      </c>
      <c r="L24" s="104" t="s">
        <v>184</v>
      </c>
      <c r="M24" s="104" t="s">
        <v>193</v>
      </c>
      <c r="N24" s="104" t="s">
        <v>589</v>
      </c>
      <c r="O24" s="102" t="s">
        <v>172</v>
      </c>
      <c r="P24" s="102" t="s">
        <v>176</v>
      </c>
      <c r="Q24" s="102" t="s">
        <v>174</v>
      </c>
      <c r="R24" s="101" t="s">
        <v>120</v>
      </c>
      <c r="S24" s="131">
        <v>0.5</v>
      </c>
      <c r="T24" s="131">
        <v>2</v>
      </c>
      <c r="U24" s="53" t="s">
        <v>230</v>
      </c>
      <c r="V24" s="101" t="s">
        <v>14</v>
      </c>
      <c r="W24" s="109" t="s">
        <v>455</v>
      </c>
      <c r="X24" s="105">
        <v>45681</v>
      </c>
      <c r="Y24" s="105">
        <v>46410</v>
      </c>
      <c r="Z24" s="105" t="s">
        <v>544</v>
      </c>
      <c r="AA24" s="12" t="s">
        <v>608</v>
      </c>
    </row>
    <row r="25" spans="1:27" ht="25" x14ac:dyDescent="0.35">
      <c r="A25" s="101">
        <v>24</v>
      </c>
      <c r="B25" s="101" t="s">
        <v>225</v>
      </c>
      <c r="C25" s="101" t="s">
        <v>335</v>
      </c>
      <c r="D25" s="111" t="s">
        <v>191</v>
      </c>
      <c r="E25" s="111" t="s">
        <v>336</v>
      </c>
      <c r="F25" s="102" t="s">
        <v>337</v>
      </c>
      <c r="G25" s="102" t="s">
        <v>338</v>
      </c>
      <c r="H25" s="102" t="s">
        <v>257</v>
      </c>
      <c r="I25" s="109" t="s">
        <v>339</v>
      </c>
      <c r="J25" s="103">
        <v>250755</v>
      </c>
      <c r="K25" s="103">
        <v>185559</v>
      </c>
      <c r="L25" s="104" t="s">
        <v>184</v>
      </c>
      <c r="M25" s="104" t="s">
        <v>194</v>
      </c>
      <c r="N25" s="102" t="s">
        <v>185</v>
      </c>
      <c r="O25" s="102" t="s">
        <v>172</v>
      </c>
      <c r="P25" s="102" t="s">
        <v>176</v>
      </c>
      <c r="Q25" s="102" t="s">
        <v>173</v>
      </c>
      <c r="R25" s="101" t="s">
        <v>120</v>
      </c>
      <c r="S25" s="101"/>
      <c r="T25" s="101"/>
      <c r="U25" s="181" t="s">
        <v>611</v>
      </c>
      <c r="V25" s="101" t="s">
        <v>14</v>
      </c>
      <c r="W25" s="105" t="s">
        <v>652</v>
      </c>
      <c r="X25" s="105">
        <v>45908</v>
      </c>
      <c r="Y25" s="105">
        <v>46295</v>
      </c>
      <c r="Z25" s="102" t="s">
        <v>543</v>
      </c>
      <c r="AA25" s="12" t="s">
        <v>608</v>
      </c>
    </row>
    <row r="26" spans="1:27" ht="37.5" x14ac:dyDescent="0.35">
      <c r="A26" s="101">
        <v>25</v>
      </c>
      <c r="B26" s="101" t="s">
        <v>225</v>
      </c>
      <c r="C26" s="101" t="s">
        <v>592</v>
      </c>
      <c r="D26" s="111" t="s">
        <v>191</v>
      </c>
      <c r="E26" s="111" t="s">
        <v>433</v>
      </c>
      <c r="F26" s="102" t="s">
        <v>591</v>
      </c>
      <c r="G26" s="102" t="s">
        <v>434</v>
      </c>
      <c r="H26" s="102"/>
      <c r="I26" s="109" t="s">
        <v>593</v>
      </c>
      <c r="J26" s="103"/>
      <c r="K26" s="103">
        <v>175000</v>
      </c>
      <c r="L26" s="104" t="s">
        <v>184</v>
      </c>
      <c r="M26" s="104" t="s">
        <v>194</v>
      </c>
      <c r="N26" s="102" t="s">
        <v>589</v>
      </c>
      <c r="O26" s="102" t="s">
        <v>172</v>
      </c>
      <c r="P26" s="102" t="s">
        <v>176</v>
      </c>
      <c r="Q26" s="102" t="s">
        <v>173</v>
      </c>
      <c r="R26" s="101" t="s">
        <v>120</v>
      </c>
      <c r="S26" s="101">
        <v>2.5</v>
      </c>
      <c r="T26" s="101">
        <v>2</v>
      </c>
      <c r="U26" s="53" t="s">
        <v>230</v>
      </c>
      <c r="V26" s="101" t="s">
        <v>14</v>
      </c>
      <c r="W26" s="109" t="s">
        <v>435</v>
      </c>
      <c r="X26" s="105">
        <v>45961</v>
      </c>
      <c r="Y26" s="105">
        <v>47056</v>
      </c>
      <c r="Z26" s="105" t="s">
        <v>546</v>
      </c>
      <c r="AA26" s="12" t="s">
        <v>608</v>
      </c>
    </row>
    <row r="27" spans="1:27" ht="29" customHeight="1" x14ac:dyDescent="0.35">
      <c r="A27" s="101">
        <v>26</v>
      </c>
      <c r="B27" s="101" t="s">
        <v>225</v>
      </c>
      <c r="C27" s="101" t="s">
        <v>249</v>
      </c>
      <c r="D27" s="111" t="s">
        <v>195</v>
      </c>
      <c r="E27" s="111" t="s">
        <v>250</v>
      </c>
      <c r="F27" s="102" t="s">
        <v>251</v>
      </c>
      <c r="G27" s="102" t="s">
        <v>252</v>
      </c>
      <c r="H27" s="102"/>
      <c r="I27" s="102"/>
      <c r="J27" s="103">
        <v>140143.11000000002</v>
      </c>
      <c r="K27" s="103">
        <v>166921</v>
      </c>
      <c r="L27" s="104" t="s">
        <v>184</v>
      </c>
      <c r="M27" s="104" t="s">
        <v>194</v>
      </c>
      <c r="N27" s="102" t="s">
        <v>185</v>
      </c>
      <c r="O27" s="102" t="s">
        <v>172</v>
      </c>
      <c r="P27" s="102" t="s">
        <v>176</v>
      </c>
      <c r="Q27" s="102" t="s">
        <v>173</v>
      </c>
      <c r="R27" s="101" t="s">
        <v>120</v>
      </c>
      <c r="S27" s="101">
        <v>1</v>
      </c>
      <c r="T27" s="101">
        <v>1</v>
      </c>
      <c r="U27" s="181" t="s">
        <v>611</v>
      </c>
      <c r="V27" s="101" t="s">
        <v>14</v>
      </c>
      <c r="W27" s="105" t="s">
        <v>651</v>
      </c>
      <c r="X27" s="105">
        <v>45833</v>
      </c>
      <c r="Y27" s="105">
        <v>46228</v>
      </c>
      <c r="Z27" s="105" t="s">
        <v>551</v>
      </c>
      <c r="AA27" s="12" t="s">
        <v>608</v>
      </c>
    </row>
    <row r="28" spans="1:27" x14ac:dyDescent="0.35">
      <c r="A28" s="101">
        <v>27</v>
      </c>
      <c r="B28" s="101" t="s">
        <v>225</v>
      </c>
      <c r="C28" s="101" t="s">
        <v>539</v>
      </c>
      <c r="D28" s="111" t="s">
        <v>197</v>
      </c>
      <c r="E28" s="111" t="s">
        <v>534</v>
      </c>
      <c r="F28" s="102" t="s">
        <v>529</v>
      </c>
      <c r="G28" s="102" t="s">
        <v>540</v>
      </c>
      <c r="H28" s="102"/>
      <c r="I28" s="102" t="s">
        <v>541</v>
      </c>
      <c r="J28" s="103"/>
      <c r="K28" s="103">
        <v>165480</v>
      </c>
      <c r="L28" s="104" t="s">
        <v>184</v>
      </c>
      <c r="M28" s="104" t="s">
        <v>194</v>
      </c>
      <c r="N28" s="102" t="s">
        <v>185</v>
      </c>
      <c r="O28" s="102" t="s">
        <v>172</v>
      </c>
      <c r="P28" s="102" t="s">
        <v>176</v>
      </c>
      <c r="Q28" s="102" t="s">
        <v>171</v>
      </c>
      <c r="R28" s="101" t="s">
        <v>179</v>
      </c>
      <c r="S28" s="101"/>
      <c r="T28" s="101"/>
      <c r="U28" s="53" t="s">
        <v>230</v>
      </c>
      <c r="V28" s="101" t="s">
        <v>14</v>
      </c>
      <c r="W28" s="105" t="s">
        <v>567</v>
      </c>
      <c r="X28" s="105">
        <v>46013</v>
      </c>
      <c r="Y28" s="105">
        <v>46742</v>
      </c>
      <c r="Z28" s="102" t="s">
        <v>549</v>
      </c>
      <c r="AA28" s="12" t="s">
        <v>608</v>
      </c>
    </row>
    <row r="29" spans="1:27" ht="25" x14ac:dyDescent="0.35">
      <c r="A29" s="101">
        <v>28</v>
      </c>
      <c r="B29" s="101" t="s">
        <v>225</v>
      </c>
      <c r="C29" s="101" t="s">
        <v>345</v>
      </c>
      <c r="D29" s="111" t="s">
        <v>191</v>
      </c>
      <c r="E29" s="164" t="s">
        <v>40</v>
      </c>
      <c r="F29" s="111" t="s">
        <v>41</v>
      </c>
      <c r="G29" s="164" t="s">
        <v>346</v>
      </c>
      <c r="H29" s="111"/>
      <c r="I29" s="117" t="s">
        <v>347</v>
      </c>
      <c r="J29" s="103">
        <v>81422</v>
      </c>
      <c r="K29" s="103">
        <f>78100+85800</f>
        <v>163900</v>
      </c>
      <c r="L29" s="104" t="s">
        <v>180</v>
      </c>
      <c r="M29" s="104" t="s">
        <v>193</v>
      </c>
      <c r="N29" s="102" t="s">
        <v>180</v>
      </c>
      <c r="O29" s="102" t="s">
        <v>170</v>
      </c>
      <c r="P29" s="102" t="s">
        <v>177</v>
      </c>
      <c r="Q29" s="102" t="s">
        <v>174</v>
      </c>
      <c r="R29" s="101" t="s">
        <v>120</v>
      </c>
      <c r="S29" s="101">
        <v>0</v>
      </c>
      <c r="T29" s="101">
        <v>1</v>
      </c>
      <c r="U29" s="53" t="s">
        <v>230</v>
      </c>
      <c r="V29" s="101" t="s">
        <v>14</v>
      </c>
      <c r="W29" s="109" t="s">
        <v>348</v>
      </c>
      <c r="X29" s="105">
        <v>45369</v>
      </c>
      <c r="Y29" s="105">
        <v>46540</v>
      </c>
      <c r="Z29" s="105" t="s">
        <v>524</v>
      </c>
    </row>
    <row r="30" spans="1:27" ht="25" x14ac:dyDescent="0.35">
      <c r="A30" s="101">
        <v>29</v>
      </c>
      <c r="B30" s="101" t="s">
        <v>225</v>
      </c>
      <c r="C30" s="101" t="s">
        <v>287</v>
      </c>
      <c r="D30" s="111" t="s">
        <v>191</v>
      </c>
      <c r="E30" s="111" t="s">
        <v>288</v>
      </c>
      <c r="F30" s="102" t="s">
        <v>289</v>
      </c>
      <c r="G30" s="102" t="s">
        <v>290</v>
      </c>
      <c r="H30" s="102" t="s">
        <v>257</v>
      </c>
      <c r="I30" s="109" t="s">
        <v>291</v>
      </c>
      <c r="J30" s="103">
        <v>100400.64</v>
      </c>
      <c r="K30" s="103">
        <v>163200</v>
      </c>
      <c r="L30" s="104" t="s">
        <v>180</v>
      </c>
      <c r="M30" s="104" t="s">
        <v>193</v>
      </c>
      <c r="N30" s="102" t="s">
        <v>180</v>
      </c>
      <c r="O30" s="102" t="s">
        <v>170</v>
      </c>
      <c r="P30" s="102" t="s">
        <v>122</v>
      </c>
      <c r="Q30" s="102" t="s">
        <v>171</v>
      </c>
      <c r="R30" s="101" t="s">
        <v>120</v>
      </c>
      <c r="S30" s="101">
        <v>0.25</v>
      </c>
      <c r="T30" s="101">
        <v>3.5</v>
      </c>
      <c r="U30" s="53" t="s">
        <v>230</v>
      </c>
      <c r="V30" s="101" t="s">
        <v>14</v>
      </c>
      <c r="W30" s="105" t="s">
        <v>649</v>
      </c>
      <c r="X30" s="105">
        <v>45791</v>
      </c>
      <c r="Y30" s="105">
        <v>46155</v>
      </c>
      <c r="Z30" s="105" t="s">
        <v>524</v>
      </c>
    </row>
    <row r="31" spans="1:27" x14ac:dyDescent="0.35">
      <c r="A31" s="101">
        <v>30</v>
      </c>
      <c r="B31" s="101" t="s">
        <v>225</v>
      </c>
      <c r="C31" s="101" t="s">
        <v>284</v>
      </c>
      <c r="D31" s="111" t="s">
        <v>191</v>
      </c>
      <c r="E31" s="111" t="s">
        <v>285</v>
      </c>
      <c r="F31" s="102" t="s">
        <v>111</v>
      </c>
      <c r="G31" s="102" t="s">
        <v>278</v>
      </c>
      <c r="H31" s="102"/>
      <c r="I31" s="102"/>
      <c r="J31" s="103">
        <v>152800</v>
      </c>
      <c r="K31" s="103">
        <v>152800</v>
      </c>
      <c r="L31" s="103" t="s">
        <v>180</v>
      </c>
      <c r="M31" s="104" t="s">
        <v>193</v>
      </c>
      <c r="N31" s="102" t="s">
        <v>180</v>
      </c>
      <c r="O31" s="102" t="s">
        <v>172</v>
      </c>
      <c r="P31" s="102" t="s">
        <v>176</v>
      </c>
      <c r="Q31" s="102" t="s">
        <v>171</v>
      </c>
      <c r="R31" s="101" t="s">
        <v>120</v>
      </c>
      <c r="S31" s="101"/>
      <c r="T31" s="101">
        <v>1.5</v>
      </c>
      <c r="U31" s="181" t="s">
        <v>611</v>
      </c>
      <c r="V31" s="101" t="s">
        <v>14</v>
      </c>
      <c r="W31" s="105" t="s">
        <v>654</v>
      </c>
      <c r="X31" s="105">
        <v>45901</v>
      </c>
      <c r="Y31" s="105">
        <v>46316</v>
      </c>
      <c r="Z31" s="102" t="s">
        <v>543</v>
      </c>
      <c r="AA31" s="12" t="s">
        <v>608</v>
      </c>
    </row>
    <row r="32" spans="1:27" ht="37.5" x14ac:dyDescent="0.35">
      <c r="A32" s="101">
        <v>31</v>
      </c>
      <c r="B32" s="101" t="s">
        <v>225</v>
      </c>
      <c r="C32" s="101" t="s">
        <v>297</v>
      </c>
      <c r="D32" s="111" t="s">
        <v>195</v>
      </c>
      <c r="E32" s="111" t="s">
        <v>298</v>
      </c>
      <c r="F32" s="102" t="s">
        <v>51</v>
      </c>
      <c r="G32" s="102" t="s">
        <v>299</v>
      </c>
      <c r="H32" s="102"/>
      <c r="I32" s="102" t="s">
        <v>300</v>
      </c>
      <c r="J32" s="103">
        <v>140220</v>
      </c>
      <c r="K32" s="103">
        <v>150000</v>
      </c>
      <c r="L32" s="104" t="s">
        <v>184</v>
      </c>
      <c r="M32" s="104" t="s">
        <v>193</v>
      </c>
      <c r="N32" s="104" t="s">
        <v>589</v>
      </c>
      <c r="O32" s="102" t="s">
        <v>172</v>
      </c>
      <c r="P32" s="102" t="s">
        <v>177</v>
      </c>
      <c r="Q32" s="102" t="s">
        <v>173</v>
      </c>
      <c r="R32" s="101" t="s">
        <v>120</v>
      </c>
      <c r="S32" s="101"/>
      <c r="T32" s="101">
        <v>0.5</v>
      </c>
      <c r="U32" s="53" t="s">
        <v>230</v>
      </c>
      <c r="V32" s="101" t="s">
        <v>14</v>
      </c>
      <c r="W32" s="105" t="s">
        <v>301</v>
      </c>
      <c r="X32" s="105">
        <v>45230</v>
      </c>
      <c r="Y32" s="105">
        <v>46325</v>
      </c>
      <c r="Z32" s="105" t="s">
        <v>526</v>
      </c>
      <c r="AA32" s="12" t="s">
        <v>170</v>
      </c>
    </row>
    <row r="33" spans="1:27" ht="37.5" x14ac:dyDescent="0.35">
      <c r="A33" s="101">
        <v>32</v>
      </c>
      <c r="B33" s="101" t="s">
        <v>225</v>
      </c>
      <c r="C33" s="101" t="s">
        <v>439</v>
      </c>
      <c r="D33" s="111" t="s">
        <v>196</v>
      </c>
      <c r="E33" s="111" t="s">
        <v>440</v>
      </c>
      <c r="F33" s="102" t="s">
        <v>91</v>
      </c>
      <c r="G33" s="102" t="s">
        <v>441</v>
      </c>
      <c r="H33" s="102"/>
      <c r="I33" s="109" t="s">
        <v>442</v>
      </c>
      <c r="J33" s="103">
        <v>129259</v>
      </c>
      <c r="K33" s="103">
        <v>130000</v>
      </c>
      <c r="L33" s="104" t="s">
        <v>184</v>
      </c>
      <c r="M33" s="104" t="s">
        <v>194</v>
      </c>
      <c r="N33" s="104" t="s">
        <v>185</v>
      </c>
      <c r="O33" s="102" t="s">
        <v>170</v>
      </c>
      <c r="P33" s="102" t="s">
        <v>176</v>
      </c>
      <c r="Q33" s="102" t="s">
        <v>173</v>
      </c>
      <c r="R33" s="101" t="s">
        <v>120</v>
      </c>
      <c r="S33" s="131">
        <v>1</v>
      </c>
      <c r="T33" s="131">
        <v>1.5</v>
      </c>
      <c r="U33" s="53" t="s">
        <v>230</v>
      </c>
      <c r="V33" s="101" t="s">
        <v>14</v>
      </c>
      <c r="W33" s="105" t="s">
        <v>643</v>
      </c>
      <c r="X33" s="105">
        <v>45825</v>
      </c>
      <c r="Y33" s="105">
        <v>46554</v>
      </c>
      <c r="Z33" s="105" t="s">
        <v>525</v>
      </c>
      <c r="AA33" s="12" t="s">
        <v>170</v>
      </c>
    </row>
    <row r="34" spans="1:27" ht="25" x14ac:dyDescent="0.35">
      <c r="A34" s="101">
        <v>34</v>
      </c>
      <c r="B34" s="101" t="s">
        <v>225</v>
      </c>
      <c r="C34" s="101" t="s">
        <v>308</v>
      </c>
      <c r="D34" s="111" t="s">
        <v>191</v>
      </c>
      <c r="E34" s="111" t="s">
        <v>303</v>
      </c>
      <c r="F34" s="102" t="s">
        <v>71</v>
      </c>
      <c r="G34" s="102" t="s">
        <v>305</v>
      </c>
      <c r="H34" s="102" t="s">
        <v>257</v>
      </c>
      <c r="I34" s="109" t="s">
        <v>306</v>
      </c>
      <c r="J34" s="103">
        <v>101890.43000000001</v>
      </c>
      <c r="K34" s="103">
        <v>124406</v>
      </c>
      <c r="L34" s="104" t="s">
        <v>180</v>
      </c>
      <c r="M34" s="104" t="s">
        <v>193</v>
      </c>
      <c r="N34" s="102" t="s">
        <v>180</v>
      </c>
      <c r="O34" s="102" t="s">
        <v>170</v>
      </c>
      <c r="P34" s="102" t="s">
        <v>177</v>
      </c>
      <c r="Q34" s="102" t="s">
        <v>174</v>
      </c>
      <c r="R34" s="101" t="s">
        <v>120</v>
      </c>
      <c r="S34" s="101"/>
      <c r="T34" s="101"/>
      <c r="U34" s="53" t="s">
        <v>230</v>
      </c>
      <c r="V34" s="101" t="s">
        <v>14</v>
      </c>
      <c r="W34" s="109" t="s">
        <v>307</v>
      </c>
      <c r="X34" s="105">
        <v>45749</v>
      </c>
      <c r="Y34" s="105">
        <v>46478</v>
      </c>
      <c r="Z34" s="105" t="s">
        <v>525</v>
      </c>
    </row>
    <row r="35" spans="1:27" ht="25" x14ac:dyDescent="0.35">
      <c r="A35" s="101">
        <v>35</v>
      </c>
      <c r="B35" s="101" t="s">
        <v>225</v>
      </c>
      <c r="C35" s="101" t="s">
        <v>375</v>
      </c>
      <c r="D35" s="111" t="s">
        <v>191</v>
      </c>
      <c r="E35" s="111" t="s">
        <v>376</v>
      </c>
      <c r="F35" s="113" t="s">
        <v>31</v>
      </c>
      <c r="G35" s="113" t="s">
        <v>377</v>
      </c>
      <c r="H35" s="113"/>
      <c r="I35" s="114" t="s">
        <v>378</v>
      </c>
      <c r="J35" s="103">
        <v>127759.5</v>
      </c>
      <c r="K35" s="103">
        <v>123750</v>
      </c>
      <c r="L35" s="104" t="s">
        <v>180</v>
      </c>
      <c r="M35" s="104" t="s">
        <v>193</v>
      </c>
      <c r="N35" s="102" t="s">
        <v>180</v>
      </c>
      <c r="O35" s="113" t="s">
        <v>170</v>
      </c>
      <c r="P35" s="113" t="s">
        <v>177</v>
      </c>
      <c r="Q35" s="113" t="s">
        <v>174</v>
      </c>
      <c r="R35" s="115" t="s">
        <v>120</v>
      </c>
      <c r="S35" s="115"/>
      <c r="T35" s="115">
        <v>2</v>
      </c>
      <c r="U35" s="53" t="s">
        <v>230</v>
      </c>
      <c r="V35" s="115" t="s">
        <v>14</v>
      </c>
      <c r="W35" s="114" t="s">
        <v>379</v>
      </c>
      <c r="X35" s="132">
        <v>45819</v>
      </c>
      <c r="Y35" s="134">
        <v>46548</v>
      </c>
      <c r="Z35" s="116" t="s">
        <v>525</v>
      </c>
    </row>
    <row r="36" spans="1:27" ht="25" x14ac:dyDescent="0.35">
      <c r="A36" s="101"/>
      <c r="B36" s="101" t="s">
        <v>225</v>
      </c>
      <c r="C36" s="101" t="s">
        <v>675</v>
      </c>
      <c r="D36" s="111" t="s">
        <v>195</v>
      </c>
      <c r="E36" s="111"/>
      <c r="F36" s="102" t="s">
        <v>674</v>
      </c>
      <c r="G36" s="102"/>
      <c r="H36" s="102"/>
      <c r="I36" s="109"/>
      <c r="J36" s="103"/>
      <c r="K36" s="103">
        <v>595200</v>
      </c>
      <c r="L36" s="104" t="s">
        <v>184</v>
      </c>
      <c r="M36" s="104"/>
      <c r="N36" s="102" t="s">
        <v>589</v>
      </c>
      <c r="O36" s="102" t="s">
        <v>368</v>
      </c>
      <c r="P36" s="102" t="s">
        <v>176</v>
      </c>
      <c r="Q36" s="102" t="s">
        <v>174</v>
      </c>
      <c r="R36" s="101" t="s">
        <v>120</v>
      </c>
      <c r="S36" s="101"/>
      <c r="T36" s="101"/>
      <c r="U36" s="53" t="s">
        <v>230</v>
      </c>
      <c r="V36" s="101" t="s">
        <v>14</v>
      </c>
      <c r="W36" s="105" t="s">
        <v>357</v>
      </c>
      <c r="X36" s="105">
        <v>46068</v>
      </c>
      <c r="Y36" s="105">
        <v>46801</v>
      </c>
      <c r="Z36" s="105" t="s">
        <v>452</v>
      </c>
      <c r="AA36" s="12" t="s">
        <v>170</v>
      </c>
    </row>
    <row r="37" spans="1:27" x14ac:dyDescent="0.35">
      <c r="A37" s="101">
        <v>37</v>
      </c>
      <c r="B37" s="101" t="s">
        <v>225</v>
      </c>
      <c r="C37" s="101" t="s">
        <v>327</v>
      </c>
      <c r="D37" s="111" t="s">
        <v>191</v>
      </c>
      <c r="E37" s="111" t="s">
        <v>328</v>
      </c>
      <c r="F37" s="102" t="s">
        <v>329</v>
      </c>
      <c r="G37" s="102"/>
      <c r="H37" s="102"/>
      <c r="I37" s="102"/>
      <c r="J37" s="103">
        <v>90594.240000000005</v>
      </c>
      <c r="K37" s="103">
        <v>105600</v>
      </c>
      <c r="L37" s="104" t="s">
        <v>180</v>
      </c>
      <c r="M37" s="104" t="s">
        <v>193</v>
      </c>
      <c r="N37" s="102" t="s">
        <v>180</v>
      </c>
      <c r="O37" s="102" t="s">
        <v>170</v>
      </c>
      <c r="P37" s="102" t="s">
        <v>122</v>
      </c>
      <c r="Q37" s="102" t="s">
        <v>174</v>
      </c>
      <c r="R37" s="101" t="s">
        <v>120</v>
      </c>
      <c r="S37" s="101"/>
      <c r="T37" s="101"/>
      <c r="U37" s="53" t="s">
        <v>230</v>
      </c>
      <c r="V37" s="101" t="s">
        <v>14</v>
      </c>
      <c r="W37" s="109" t="s">
        <v>330</v>
      </c>
      <c r="X37" s="105">
        <v>45800</v>
      </c>
      <c r="Y37" s="105">
        <v>46529</v>
      </c>
      <c r="Z37" s="105" t="s">
        <v>524</v>
      </c>
    </row>
    <row r="38" spans="1:27" ht="25" x14ac:dyDescent="0.35">
      <c r="A38" s="101">
        <v>38</v>
      </c>
      <c r="B38" s="101" t="s">
        <v>225</v>
      </c>
      <c r="C38" s="101" t="s">
        <v>292</v>
      </c>
      <c r="D38" s="111" t="s">
        <v>191</v>
      </c>
      <c r="E38" s="111" t="s">
        <v>288</v>
      </c>
      <c r="F38" s="102" t="s">
        <v>293</v>
      </c>
      <c r="G38" s="102" t="s">
        <v>290</v>
      </c>
      <c r="H38" s="102" t="s">
        <v>257</v>
      </c>
      <c r="I38" s="109" t="s">
        <v>291</v>
      </c>
      <c r="J38" s="103"/>
      <c r="K38" s="103">
        <v>102000</v>
      </c>
      <c r="L38" s="104" t="s">
        <v>180</v>
      </c>
      <c r="M38" s="104" t="s">
        <v>193</v>
      </c>
      <c r="N38" s="102" t="s">
        <v>180</v>
      </c>
      <c r="O38" s="102" t="s">
        <v>170</v>
      </c>
      <c r="P38" s="102" t="s">
        <v>122</v>
      </c>
      <c r="Q38" s="102" t="s">
        <v>171</v>
      </c>
      <c r="R38" s="101" t="s">
        <v>120</v>
      </c>
      <c r="S38" s="101"/>
      <c r="T38" s="101"/>
      <c r="U38" s="53" t="s">
        <v>230</v>
      </c>
      <c r="V38" s="101" t="s">
        <v>14</v>
      </c>
      <c r="W38" s="105" t="s">
        <v>649</v>
      </c>
      <c r="X38" s="105">
        <v>45968</v>
      </c>
      <c r="Y38" s="105">
        <v>46697</v>
      </c>
      <c r="Z38" s="105" t="s">
        <v>524</v>
      </c>
    </row>
    <row r="39" spans="1:27" s="62" customFormat="1" ht="25" x14ac:dyDescent="0.35">
      <c r="A39" s="111">
        <v>39</v>
      </c>
      <c r="B39" s="111" t="s">
        <v>225</v>
      </c>
      <c r="C39" s="101" t="s">
        <v>313</v>
      </c>
      <c r="D39" s="111" t="s">
        <v>196</v>
      </c>
      <c r="E39" s="111" t="s">
        <v>314</v>
      </c>
      <c r="F39" s="111" t="s">
        <v>315</v>
      </c>
      <c r="G39" s="102" t="s">
        <v>311</v>
      </c>
      <c r="H39" s="111" t="s">
        <v>257</v>
      </c>
      <c r="I39" s="117" t="s">
        <v>312</v>
      </c>
      <c r="J39" s="103"/>
      <c r="K39" s="103">
        <v>101575.65</v>
      </c>
      <c r="L39" s="161" t="s">
        <v>180</v>
      </c>
      <c r="M39" s="161" t="s">
        <v>193</v>
      </c>
      <c r="N39" s="111" t="s">
        <v>180</v>
      </c>
      <c r="O39" s="111" t="s">
        <v>170</v>
      </c>
      <c r="P39" s="111" t="s">
        <v>177</v>
      </c>
      <c r="Q39" s="111" t="s">
        <v>174</v>
      </c>
      <c r="R39" s="111" t="s">
        <v>120</v>
      </c>
      <c r="S39" s="111"/>
      <c r="T39" s="111"/>
      <c r="U39" s="162" t="s">
        <v>230</v>
      </c>
      <c r="V39" s="101" t="s">
        <v>14</v>
      </c>
      <c r="W39" s="163" t="s">
        <v>316</v>
      </c>
      <c r="X39" s="163">
        <v>45946</v>
      </c>
      <c r="Y39" s="163">
        <v>47057</v>
      </c>
      <c r="Z39" s="163" t="s">
        <v>525</v>
      </c>
      <c r="AA39" s="62" t="s">
        <v>170</v>
      </c>
    </row>
    <row r="40" spans="1:27" ht="24" customHeight="1" x14ac:dyDescent="0.35">
      <c r="A40" s="101">
        <v>40</v>
      </c>
      <c r="B40" s="101" t="s">
        <v>225</v>
      </c>
      <c r="C40" s="101" t="s">
        <v>559</v>
      </c>
      <c r="D40" s="111" t="s">
        <v>191</v>
      </c>
      <c r="E40" s="111" t="s">
        <v>560</v>
      </c>
      <c r="F40" s="102" t="s">
        <v>558</v>
      </c>
      <c r="G40" s="102" t="s">
        <v>561</v>
      </c>
      <c r="H40" s="102" t="s">
        <v>229</v>
      </c>
      <c r="I40" s="102"/>
      <c r="J40" s="103"/>
      <c r="K40" s="103">
        <v>100000</v>
      </c>
      <c r="L40" s="104" t="s">
        <v>184</v>
      </c>
      <c r="M40" s="104" t="s">
        <v>194</v>
      </c>
      <c r="N40" s="102" t="s">
        <v>589</v>
      </c>
      <c r="O40" s="102" t="s">
        <v>170</v>
      </c>
      <c r="P40" s="102" t="s">
        <v>176</v>
      </c>
      <c r="Q40" s="102" t="s">
        <v>173</v>
      </c>
      <c r="R40" s="101" t="s">
        <v>120</v>
      </c>
      <c r="S40" s="101">
        <v>1</v>
      </c>
      <c r="T40" s="101">
        <v>1.75</v>
      </c>
      <c r="U40" s="53" t="s">
        <v>230</v>
      </c>
      <c r="V40" s="101" t="s">
        <v>14</v>
      </c>
      <c r="W40" s="105" t="s">
        <v>562</v>
      </c>
      <c r="X40" s="105">
        <v>45581</v>
      </c>
      <c r="Y40" s="105">
        <v>46310</v>
      </c>
      <c r="Z40" s="102" t="s">
        <v>525</v>
      </c>
      <c r="AA40" s="12" t="s">
        <v>170</v>
      </c>
    </row>
    <row r="41" spans="1:27" ht="25" x14ac:dyDescent="0.35">
      <c r="A41" s="101">
        <v>41</v>
      </c>
      <c r="B41" s="101" t="s">
        <v>225</v>
      </c>
      <c r="C41" s="101" t="s">
        <v>320</v>
      </c>
      <c r="D41" s="111" t="s">
        <v>196</v>
      </c>
      <c r="E41" s="111" t="s">
        <v>318</v>
      </c>
      <c r="F41" s="102" t="s">
        <v>33</v>
      </c>
      <c r="G41" s="102" t="s">
        <v>321</v>
      </c>
      <c r="H41" s="102" t="s">
        <v>257</v>
      </c>
      <c r="I41" s="109" t="s">
        <v>312</v>
      </c>
      <c r="J41" s="103">
        <v>14672.347250000001</v>
      </c>
      <c r="K41" s="103">
        <v>93934.77</v>
      </c>
      <c r="L41" s="104" t="s">
        <v>184</v>
      </c>
      <c r="M41" s="104" t="s">
        <v>193</v>
      </c>
      <c r="N41" s="102" t="s">
        <v>589</v>
      </c>
      <c r="O41" s="102" t="s">
        <v>170</v>
      </c>
      <c r="P41" s="102" t="s">
        <v>177</v>
      </c>
      <c r="Q41" s="102" t="s">
        <v>174</v>
      </c>
      <c r="R41" s="101" t="s">
        <v>120</v>
      </c>
      <c r="S41" s="101">
        <v>0</v>
      </c>
      <c r="T41" s="101">
        <v>1</v>
      </c>
      <c r="U41" s="53" t="s">
        <v>230</v>
      </c>
      <c r="V41" s="101" t="s">
        <v>14</v>
      </c>
      <c r="W41" s="109" t="s">
        <v>307</v>
      </c>
      <c r="X41" s="105">
        <v>45534</v>
      </c>
      <c r="Y41" s="105">
        <v>46267</v>
      </c>
      <c r="Z41" s="105" t="s">
        <v>525</v>
      </c>
      <c r="AA41" s="12" t="s">
        <v>170</v>
      </c>
    </row>
    <row r="42" spans="1:27" ht="25" x14ac:dyDescent="0.35">
      <c r="A42" s="101">
        <v>42</v>
      </c>
      <c r="B42" s="101" t="s">
        <v>225</v>
      </c>
      <c r="C42" s="101" t="s">
        <v>429</v>
      </c>
      <c r="D42" s="111" t="s">
        <v>199</v>
      </c>
      <c r="E42" s="111" t="s">
        <v>430</v>
      </c>
      <c r="F42" s="102" t="s">
        <v>655</v>
      </c>
      <c r="G42" s="102" t="s">
        <v>431</v>
      </c>
      <c r="H42" s="102"/>
      <c r="I42" s="109" t="s">
        <v>432</v>
      </c>
      <c r="J42" s="103">
        <v>128180</v>
      </c>
      <c r="K42" s="103">
        <v>91007</v>
      </c>
      <c r="L42" s="103" t="s">
        <v>184</v>
      </c>
      <c r="M42" s="104" t="s">
        <v>194</v>
      </c>
      <c r="N42" s="104" t="s">
        <v>589</v>
      </c>
      <c r="O42" s="102" t="s">
        <v>172</v>
      </c>
      <c r="P42" s="102" t="s">
        <v>176</v>
      </c>
      <c r="Q42" s="102" t="s">
        <v>171</v>
      </c>
      <c r="R42" s="101" t="s">
        <v>120</v>
      </c>
      <c r="S42" s="101"/>
      <c r="T42" s="101">
        <v>1.5</v>
      </c>
      <c r="U42" s="181" t="s">
        <v>611</v>
      </c>
      <c r="V42" s="101" t="s">
        <v>14</v>
      </c>
      <c r="W42" s="105" t="s">
        <v>647</v>
      </c>
      <c r="X42" s="105">
        <v>45908</v>
      </c>
      <c r="Y42" s="105">
        <v>46272</v>
      </c>
      <c r="Z42" s="102" t="s">
        <v>543</v>
      </c>
      <c r="AA42" s="12" t="s">
        <v>608</v>
      </c>
    </row>
    <row r="43" spans="1:27" x14ac:dyDescent="0.35">
      <c r="A43" s="101">
        <v>43</v>
      </c>
      <c r="B43" s="101" t="s">
        <v>225</v>
      </c>
      <c r="C43" s="101" t="s">
        <v>389</v>
      </c>
      <c r="D43" s="111" t="s">
        <v>195</v>
      </c>
      <c r="E43" s="111" t="s">
        <v>390</v>
      </c>
      <c r="F43" s="102" t="s">
        <v>391</v>
      </c>
      <c r="G43" s="102" t="s">
        <v>392</v>
      </c>
      <c r="H43" s="102"/>
      <c r="I43" s="102" t="s">
        <v>393</v>
      </c>
      <c r="J43" s="103">
        <v>86818</v>
      </c>
      <c r="K43" s="103">
        <v>86818</v>
      </c>
      <c r="L43" s="103" t="s">
        <v>184</v>
      </c>
      <c r="M43" s="104" t="s">
        <v>194</v>
      </c>
      <c r="N43" s="102" t="s">
        <v>589</v>
      </c>
      <c r="O43" s="102" t="s">
        <v>172</v>
      </c>
      <c r="P43" s="102" t="s">
        <v>176</v>
      </c>
      <c r="Q43" s="102" t="s">
        <v>171</v>
      </c>
      <c r="R43" s="101" t="s">
        <v>120</v>
      </c>
      <c r="S43" s="101"/>
      <c r="T43" s="101">
        <v>1</v>
      </c>
      <c r="U43" s="53" t="s">
        <v>230</v>
      </c>
      <c r="V43" s="101" t="s">
        <v>14</v>
      </c>
      <c r="W43" s="105" t="s">
        <v>394</v>
      </c>
      <c r="X43" s="105">
        <v>45897</v>
      </c>
      <c r="Y43" s="105">
        <v>46626</v>
      </c>
      <c r="Z43" s="102" t="s">
        <v>557</v>
      </c>
      <c r="AA43" s="12" t="s">
        <v>608</v>
      </c>
    </row>
    <row r="44" spans="1:27" ht="25" x14ac:dyDescent="0.35">
      <c r="A44" s="101">
        <v>44</v>
      </c>
      <c r="B44" s="101" t="s">
        <v>225</v>
      </c>
      <c r="C44" s="101" t="s">
        <v>414</v>
      </c>
      <c r="D44" s="111" t="s">
        <v>191</v>
      </c>
      <c r="E44" s="111" t="s">
        <v>415</v>
      </c>
      <c r="F44" s="102" t="s">
        <v>416</v>
      </c>
      <c r="G44" s="102" t="s">
        <v>417</v>
      </c>
      <c r="H44" s="102"/>
      <c r="I44" s="109" t="s">
        <v>418</v>
      </c>
      <c r="J44" s="103">
        <v>620418.24900000007</v>
      </c>
      <c r="K44" s="103">
        <v>82540</v>
      </c>
      <c r="L44" s="104" t="s">
        <v>180</v>
      </c>
      <c r="M44" s="104" t="s">
        <v>194</v>
      </c>
      <c r="N44" s="102" t="s">
        <v>180</v>
      </c>
      <c r="O44" s="102" t="s">
        <v>172</v>
      </c>
      <c r="P44" s="102" t="s">
        <v>176</v>
      </c>
      <c r="Q44" s="102" t="s">
        <v>171</v>
      </c>
      <c r="R44" s="101" t="s">
        <v>120</v>
      </c>
      <c r="S44" s="101">
        <v>0.5</v>
      </c>
      <c r="T44" s="101">
        <v>2</v>
      </c>
      <c r="U44" s="53" t="s">
        <v>230</v>
      </c>
      <c r="V44" s="101" t="s">
        <v>14</v>
      </c>
      <c r="W44" s="109" t="s">
        <v>419</v>
      </c>
      <c r="X44" s="105">
        <v>45596</v>
      </c>
      <c r="Y44" s="105">
        <v>46325</v>
      </c>
      <c r="Z44" s="105" t="s">
        <v>546</v>
      </c>
      <c r="AA44" s="12" t="s">
        <v>608</v>
      </c>
    </row>
    <row r="45" spans="1:27" ht="25" x14ac:dyDescent="0.35">
      <c r="A45" s="101">
        <v>45</v>
      </c>
      <c r="B45" s="101" t="s">
        <v>225</v>
      </c>
      <c r="C45" s="101" t="s">
        <v>253</v>
      </c>
      <c r="D45" s="111" t="s">
        <v>191</v>
      </c>
      <c r="E45" s="111" t="s">
        <v>254</v>
      </c>
      <c r="F45" s="102" t="s">
        <v>255</v>
      </c>
      <c r="G45" s="102" t="s">
        <v>256</v>
      </c>
      <c r="H45" s="102" t="s">
        <v>257</v>
      </c>
      <c r="I45" s="109" t="s">
        <v>258</v>
      </c>
      <c r="J45" s="103">
        <v>16588.8</v>
      </c>
      <c r="K45" s="103">
        <v>81000</v>
      </c>
      <c r="L45" s="104" t="s">
        <v>180</v>
      </c>
      <c r="M45" s="104" t="s">
        <v>193</v>
      </c>
      <c r="N45" s="102" t="s">
        <v>180</v>
      </c>
      <c r="O45" s="102" t="s">
        <v>170</v>
      </c>
      <c r="P45" s="102" t="s">
        <v>122</v>
      </c>
      <c r="Q45" s="102" t="s">
        <v>171</v>
      </c>
      <c r="R45" s="101" t="s">
        <v>120</v>
      </c>
      <c r="S45" s="101">
        <v>0.25</v>
      </c>
      <c r="T45" s="101">
        <v>1</v>
      </c>
      <c r="U45" s="53" t="s">
        <v>230</v>
      </c>
      <c r="V45" s="101" t="s">
        <v>14</v>
      </c>
      <c r="W45" s="105" t="s">
        <v>649</v>
      </c>
      <c r="X45" s="105">
        <v>45630</v>
      </c>
      <c r="Y45" s="105">
        <v>46359</v>
      </c>
      <c r="Z45" s="105" t="s">
        <v>524</v>
      </c>
    </row>
    <row r="46" spans="1:27" ht="37.5" x14ac:dyDescent="0.35">
      <c r="A46" s="101">
        <v>46</v>
      </c>
      <c r="B46" s="101" t="s">
        <v>225</v>
      </c>
      <c r="C46" s="101" t="s">
        <v>349</v>
      </c>
      <c r="D46" s="111" t="s">
        <v>191</v>
      </c>
      <c r="E46" s="111" t="s">
        <v>40</v>
      </c>
      <c r="F46" s="102" t="s">
        <v>350</v>
      </c>
      <c r="G46" s="102" t="s">
        <v>351</v>
      </c>
      <c r="H46" s="102"/>
      <c r="I46" s="109" t="s">
        <v>352</v>
      </c>
      <c r="J46" s="103">
        <v>103840</v>
      </c>
      <c r="K46" s="118">
        <v>78100</v>
      </c>
      <c r="L46" s="104" t="s">
        <v>180</v>
      </c>
      <c r="M46" s="104" t="s">
        <v>193</v>
      </c>
      <c r="N46" s="102" t="s">
        <v>180</v>
      </c>
      <c r="O46" s="102" t="s">
        <v>170</v>
      </c>
      <c r="P46" s="102" t="s">
        <v>177</v>
      </c>
      <c r="Q46" s="102" t="s">
        <v>174</v>
      </c>
      <c r="R46" s="101" t="s">
        <v>120</v>
      </c>
      <c r="S46" s="101"/>
      <c r="T46" s="101"/>
      <c r="U46" s="53" t="s">
        <v>230</v>
      </c>
      <c r="V46" s="101" t="s">
        <v>14</v>
      </c>
      <c r="W46" s="109" t="s">
        <v>353</v>
      </c>
      <c r="X46" s="105">
        <v>45869</v>
      </c>
      <c r="Y46" s="105">
        <v>46598</v>
      </c>
      <c r="Z46" s="105" t="s">
        <v>524</v>
      </c>
    </row>
    <row r="47" spans="1:27" ht="25" x14ac:dyDescent="0.35">
      <c r="A47" s="101">
        <v>47</v>
      </c>
      <c r="B47" s="101" t="s">
        <v>225</v>
      </c>
      <c r="C47" s="101" t="s">
        <v>283</v>
      </c>
      <c r="D47" s="111" t="s">
        <v>191</v>
      </c>
      <c r="E47" s="111" t="s">
        <v>276</v>
      </c>
      <c r="F47" s="102" t="s">
        <v>45</v>
      </c>
      <c r="G47" s="166" t="s">
        <v>278</v>
      </c>
      <c r="H47" s="102"/>
      <c r="I47" s="109" t="s">
        <v>279</v>
      </c>
      <c r="J47" s="103">
        <v>84480</v>
      </c>
      <c r="K47" s="103">
        <v>78100</v>
      </c>
      <c r="L47" s="104" t="s">
        <v>180</v>
      </c>
      <c r="M47" s="104" t="s">
        <v>193</v>
      </c>
      <c r="N47" s="102" t="s">
        <v>180</v>
      </c>
      <c r="O47" s="102" t="s">
        <v>170</v>
      </c>
      <c r="P47" s="102" t="s">
        <v>177</v>
      </c>
      <c r="Q47" s="102" t="s">
        <v>174</v>
      </c>
      <c r="R47" s="101" t="s">
        <v>120</v>
      </c>
      <c r="S47" s="101">
        <v>0</v>
      </c>
      <c r="T47" s="101">
        <v>1</v>
      </c>
      <c r="U47" s="53" t="s">
        <v>230</v>
      </c>
      <c r="V47" s="101" t="s">
        <v>14</v>
      </c>
      <c r="W47" s="109" t="s">
        <v>280</v>
      </c>
      <c r="X47" s="105">
        <v>45839</v>
      </c>
      <c r="Y47" s="105">
        <v>46570</v>
      </c>
      <c r="Z47" s="105" t="s">
        <v>526</v>
      </c>
    </row>
    <row r="48" spans="1:27" ht="25" x14ac:dyDescent="0.35">
      <c r="A48" s="101">
        <v>48</v>
      </c>
      <c r="B48" s="101" t="s">
        <v>225</v>
      </c>
      <c r="C48" s="101" t="s">
        <v>281</v>
      </c>
      <c r="D48" s="111" t="s">
        <v>191</v>
      </c>
      <c r="E48" s="111" t="s">
        <v>276</v>
      </c>
      <c r="F48" s="110" t="s">
        <v>282</v>
      </c>
      <c r="G48" s="166" t="s">
        <v>278</v>
      </c>
      <c r="H48" s="102"/>
      <c r="I48" s="109" t="s">
        <v>279</v>
      </c>
      <c r="J48" s="103">
        <v>5720.0000000000055</v>
      </c>
      <c r="K48" s="103">
        <v>78100</v>
      </c>
      <c r="L48" s="104" t="s">
        <v>180</v>
      </c>
      <c r="M48" s="104" t="s">
        <v>193</v>
      </c>
      <c r="N48" s="102" t="s">
        <v>180</v>
      </c>
      <c r="O48" s="102" t="s">
        <v>170</v>
      </c>
      <c r="P48" s="102" t="s">
        <v>177</v>
      </c>
      <c r="Q48" s="102" t="s">
        <v>174</v>
      </c>
      <c r="R48" s="101" t="s">
        <v>120</v>
      </c>
      <c r="S48" s="101">
        <v>0</v>
      </c>
      <c r="T48" s="101">
        <v>1</v>
      </c>
      <c r="U48" s="53" t="s">
        <v>230</v>
      </c>
      <c r="V48" s="101" t="s">
        <v>14</v>
      </c>
      <c r="W48" s="109" t="s">
        <v>280</v>
      </c>
      <c r="X48" s="105">
        <v>45497</v>
      </c>
      <c r="Y48" s="105">
        <v>46226</v>
      </c>
      <c r="Z48" s="105" t="s">
        <v>526</v>
      </c>
    </row>
    <row r="49" spans="1:27" ht="25" x14ac:dyDescent="0.35">
      <c r="A49" s="101">
        <v>49</v>
      </c>
      <c r="B49" s="101" t="s">
        <v>225</v>
      </c>
      <c r="C49" s="101" t="s">
        <v>275</v>
      </c>
      <c r="D49" s="111" t="s">
        <v>191</v>
      </c>
      <c r="E49" s="111" t="s">
        <v>276</v>
      </c>
      <c r="F49" s="102" t="s">
        <v>277</v>
      </c>
      <c r="G49" s="166" t="s">
        <v>278</v>
      </c>
      <c r="H49" s="102"/>
      <c r="I49" s="109" t="s">
        <v>279</v>
      </c>
      <c r="J49" s="103">
        <v>99000</v>
      </c>
      <c r="K49" s="103">
        <v>70290</v>
      </c>
      <c r="L49" s="104" t="s">
        <v>180</v>
      </c>
      <c r="M49" s="104" t="s">
        <v>193</v>
      </c>
      <c r="N49" s="102" t="s">
        <v>180</v>
      </c>
      <c r="O49" s="102" t="s">
        <v>170</v>
      </c>
      <c r="P49" s="102" t="s">
        <v>177</v>
      </c>
      <c r="Q49" s="102" t="s">
        <v>174</v>
      </c>
      <c r="R49" s="101" t="s">
        <v>120</v>
      </c>
      <c r="S49" s="101">
        <v>0</v>
      </c>
      <c r="T49" s="101">
        <v>1</v>
      </c>
      <c r="U49" s="53" t="s">
        <v>230</v>
      </c>
      <c r="V49" s="101" t="s">
        <v>14</v>
      </c>
      <c r="W49" s="109" t="s">
        <v>280</v>
      </c>
      <c r="X49" s="105">
        <v>45860</v>
      </c>
      <c r="Y49" s="105">
        <v>46590</v>
      </c>
      <c r="Z49" s="105" t="s">
        <v>526</v>
      </c>
    </row>
    <row r="50" spans="1:27" ht="25" x14ac:dyDescent="0.35">
      <c r="A50" s="101">
        <v>50</v>
      </c>
      <c r="B50" s="101" t="s">
        <v>225</v>
      </c>
      <c r="C50" s="101" t="s">
        <v>317</v>
      </c>
      <c r="D50" s="111" t="s">
        <v>196</v>
      </c>
      <c r="E50" s="111" t="s">
        <v>318</v>
      </c>
      <c r="F50" s="102" t="s">
        <v>319</v>
      </c>
      <c r="G50" s="102" t="s">
        <v>311</v>
      </c>
      <c r="H50" s="102" t="s">
        <v>257</v>
      </c>
      <c r="I50" s="109" t="s">
        <v>306</v>
      </c>
      <c r="J50" s="103">
        <v>86120.16</v>
      </c>
      <c r="K50" s="103">
        <v>75544</v>
      </c>
      <c r="L50" s="104" t="s">
        <v>184</v>
      </c>
      <c r="M50" s="104" t="s">
        <v>193</v>
      </c>
      <c r="N50" s="102" t="s">
        <v>589</v>
      </c>
      <c r="O50" s="102" t="s">
        <v>170</v>
      </c>
      <c r="P50" s="102" t="s">
        <v>177</v>
      </c>
      <c r="Q50" s="102" t="s">
        <v>174</v>
      </c>
      <c r="R50" s="101" t="s">
        <v>120</v>
      </c>
      <c r="S50" s="101"/>
      <c r="T50" s="101"/>
      <c r="U50" s="53" t="s">
        <v>230</v>
      </c>
      <c r="V50" s="101" t="s">
        <v>14</v>
      </c>
      <c r="W50" s="109" t="s">
        <v>307</v>
      </c>
      <c r="X50" s="105">
        <v>45769</v>
      </c>
      <c r="Y50" s="105">
        <v>46528</v>
      </c>
      <c r="Z50" s="105" t="s">
        <v>525</v>
      </c>
      <c r="AA50" s="12" t="s">
        <v>170</v>
      </c>
    </row>
    <row r="51" spans="1:27" ht="25" x14ac:dyDescent="0.35">
      <c r="A51" s="101">
        <v>51</v>
      </c>
      <c r="B51" s="101" t="s">
        <v>225</v>
      </c>
      <c r="C51" s="101" t="s">
        <v>448</v>
      </c>
      <c r="D51" s="111" t="s">
        <v>191</v>
      </c>
      <c r="E51" s="111" t="s">
        <v>449</v>
      </c>
      <c r="F51" s="102" t="s">
        <v>85</v>
      </c>
      <c r="G51" s="102" t="s">
        <v>450</v>
      </c>
      <c r="H51" s="102"/>
      <c r="I51" s="102"/>
      <c r="J51" s="103">
        <v>106684.59999999999</v>
      </c>
      <c r="K51" s="103">
        <v>74994</v>
      </c>
      <c r="L51" s="104" t="s">
        <v>180</v>
      </c>
      <c r="M51" s="104" t="s">
        <v>194</v>
      </c>
      <c r="N51" s="102" t="s">
        <v>180</v>
      </c>
      <c r="O51" s="102" t="s">
        <v>172</v>
      </c>
      <c r="P51" s="102" t="s">
        <v>176</v>
      </c>
      <c r="Q51" s="102" t="s">
        <v>171</v>
      </c>
      <c r="R51" s="101" t="s">
        <v>182</v>
      </c>
      <c r="S51" s="101"/>
      <c r="T51" s="101"/>
      <c r="U51" s="53" t="s">
        <v>230</v>
      </c>
      <c r="V51" s="101" t="s">
        <v>14</v>
      </c>
      <c r="W51" s="105" t="s">
        <v>451</v>
      </c>
      <c r="X51" s="105">
        <v>45748</v>
      </c>
      <c r="Y51" s="105">
        <v>46477</v>
      </c>
      <c r="Z51" s="105" t="s">
        <v>452</v>
      </c>
      <c r="AA51" s="12" t="s">
        <v>170</v>
      </c>
    </row>
    <row r="52" spans="1:27" ht="14.5" x14ac:dyDescent="0.35">
      <c r="A52" s="101">
        <v>52</v>
      </c>
      <c r="B52" s="101" t="s">
        <v>225</v>
      </c>
      <c r="C52" s="101" t="s">
        <v>272</v>
      </c>
      <c r="D52" s="111" t="s">
        <v>197</v>
      </c>
      <c r="E52" s="111" t="s">
        <v>268</v>
      </c>
      <c r="F52" s="110" t="s">
        <v>273</v>
      </c>
      <c r="G52" s="102" t="s">
        <v>270</v>
      </c>
      <c r="H52" s="102" t="s">
        <v>257</v>
      </c>
      <c r="I52" s="102" t="s">
        <v>271</v>
      </c>
      <c r="J52" s="103"/>
      <c r="K52" s="103">
        <v>63660</v>
      </c>
      <c r="L52" s="104" t="s">
        <v>180</v>
      </c>
      <c r="M52" s="104" t="s">
        <v>193</v>
      </c>
      <c r="N52" s="102" t="s">
        <v>180</v>
      </c>
      <c r="O52" s="102" t="s">
        <v>170</v>
      </c>
      <c r="P52" s="102" t="s">
        <v>122</v>
      </c>
      <c r="Q52" s="102" t="s">
        <v>171</v>
      </c>
      <c r="R52" s="101" t="s">
        <v>120</v>
      </c>
      <c r="S52" s="101"/>
      <c r="T52" s="101"/>
      <c r="U52" s="53" t="s">
        <v>230</v>
      </c>
      <c r="V52" s="101" t="s">
        <v>14</v>
      </c>
      <c r="W52" s="109" t="s">
        <v>274</v>
      </c>
      <c r="X52" s="127">
        <v>45911</v>
      </c>
      <c r="Y52" s="127">
        <v>46640</v>
      </c>
      <c r="Z52" s="105" t="s">
        <v>524</v>
      </c>
    </row>
    <row r="53" spans="1:27" ht="25" x14ac:dyDescent="0.35">
      <c r="A53" s="101">
        <v>53</v>
      </c>
      <c r="B53" s="101" t="s">
        <v>225</v>
      </c>
      <c r="C53" s="101" t="s">
        <v>302</v>
      </c>
      <c r="D53" s="111" t="s">
        <v>191</v>
      </c>
      <c r="E53" s="111" t="s">
        <v>303</v>
      </c>
      <c r="F53" s="102" t="s">
        <v>304</v>
      </c>
      <c r="G53" s="102" t="s">
        <v>305</v>
      </c>
      <c r="H53" s="102" t="s">
        <v>257</v>
      </c>
      <c r="I53" s="109" t="s">
        <v>306</v>
      </c>
      <c r="J53" s="103">
        <v>60945.5</v>
      </c>
      <c r="K53" s="103">
        <v>54670</v>
      </c>
      <c r="L53" s="104" t="s">
        <v>296</v>
      </c>
      <c r="M53" s="104" t="s">
        <v>193</v>
      </c>
      <c r="N53" s="102" t="s">
        <v>180</v>
      </c>
      <c r="O53" s="102" t="s">
        <v>170</v>
      </c>
      <c r="P53" s="102" t="s">
        <v>177</v>
      </c>
      <c r="Q53" s="102" t="s">
        <v>174</v>
      </c>
      <c r="R53" s="101" t="s">
        <v>120</v>
      </c>
      <c r="S53" s="101"/>
      <c r="T53" s="101"/>
      <c r="U53" s="53" t="s">
        <v>230</v>
      </c>
      <c r="V53" s="101" t="s">
        <v>14</v>
      </c>
      <c r="W53" s="109" t="s">
        <v>307</v>
      </c>
      <c r="X53" s="105">
        <v>45832</v>
      </c>
      <c r="Y53" s="105">
        <v>46561</v>
      </c>
      <c r="Z53" s="105" t="s">
        <v>525</v>
      </c>
    </row>
    <row r="54" spans="1:27" ht="37.5" x14ac:dyDescent="0.35">
      <c r="A54" s="101">
        <v>54</v>
      </c>
      <c r="B54" s="101" t="s">
        <v>225</v>
      </c>
      <c r="C54" s="101" t="s">
        <v>564</v>
      </c>
      <c r="D54" s="111" t="s">
        <v>197</v>
      </c>
      <c r="E54" s="111" t="s">
        <v>565</v>
      </c>
      <c r="F54" s="102" t="s">
        <v>563</v>
      </c>
      <c r="G54" s="102"/>
      <c r="H54" s="102"/>
      <c r="I54" s="102"/>
      <c r="J54" s="103"/>
      <c r="K54" s="103">
        <v>53400</v>
      </c>
      <c r="L54" s="104" t="s">
        <v>184</v>
      </c>
      <c r="M54" s="104" t="s">
        <v>194</v>
      </c>
      <c r="N54" s="104" t="s">
        <v>589</v>
      </c>
      <c r="O54" s="102" t="s">
        <v>172</v>
      </c>
      <c r="P54" s="102" t="s">
        <v>176</v>
      </c>
      <c r="Q54" s="102" t="s">
        <v>174</v>
      </c>
      <c r="R54" s="101" t="s">
        <v>120</v>
      </c>
      <c r="S54" s="101"/>
      <c r="T54" s="101">
        <v>1</v>
      </c>
      <c r="U54" s="53" t="s">
        <v>230</v>
      </c>
      <c r="V54" s="101" t="s">
        <v>14</v>
      </c>
      <c r="W54" s="105" t="s">
        <v>566</v>
      </c>
      <c r="X54" s="105">
        <v>45957</v>
      </c>
      <c r="Y54" s="105">
        <v>46688</v>
      </c>
      <c r="Z54" s="102" t="s">
        <v>549</v>
      </c>
      <c r="AA54" s="12" t="s">
        <v>608</v>
      </c>
    </row>
    <row r="55" spans="1:27" ht="37.5" x14ac:dyDescent="0.35">
      <c r="A55" s="101">
        <v>55</v>
      </c>
      <c r="B55" s="101" t="s">
        <v>225</v>
      </c>
      <c r="C55" s="101" t="s">
        <v>436</v>
      </c>
      <c r="D55" s="111" t="s">
        <v>195</v>
      </c>
      <c r="E55" s="111" t="s">
        <v>437</v>
      </c>
      <c r="F55" s="102" t="s">
        <v>110</v>
      </c>
      <c r="G55" s="102" t="s">
        <v>324</v>
      </c>
      <c r="H55" s="102"/>
      <c r="I55" s="109" t="s">
        <v>438</v>
      </c>
      <c r="J55" s="103">
        <v>52800</v>
      </c>
      <c r="K55" s="103">
        <v>52800</v>
      </c>
      <c r="L55" s="104" t="s">
        <v>180</v>
      </c>
      <c r="M55" s="104" t="s">
        <v>193</v>
      </c>
      <c r="N55" s="102" t="s">
        <v>180</v>
      </c>
      <c r="O55" s="102" t="s">
        <v>170</v>
      </c>
      <c r="P55" s="102" t="s">
        <v>177</v>
      </c>
      <c r="Q55" s="102" t="s">
        <v>174</v>
      </c>
      <c r="R55" s="101" t="s">
        <v>179</v>
      </c>
      <c r="S55" s="101"/>
      <c r="T55" s="101"/>
      <c r="U55" s="53" t="s">
        <v>230</v>
      </c>
      <c r="V55" s="101" t="s">
        <v>14</v>
      </c>
      <c r="W55" s="105" t="s">
        <v>646</v>
      </c>
      <c r="X55" s="105">
        <v>45924</v>
      </c>
      <c r="Y55" s="105">
        <v>46288</v>
      </c>
      <c r="Z55" s="105" t="s">
        <v>526</v>
      </c>
      <c r="AA55" s="12" t="s">
        <v>170</v>
      </c>
    </row>
    <row r="56" spans="1:27" ht="18.5" customHeight="1" x14ac:dyDescent="0.35">
      <c r="A56" s="101">
        <v>56</v>
      </c>
      <c r="B56" s="101" t="s">
        <v>225</v>
      </c>
      <c r="C56" s="101" t="s">
        <v>340</v>
      </c>
      <c r="D56" s="111" t="s">
        <v>197</v>
      </c>
      <c r="E56" s="111" t="s">
        <v>341</v>
      </c>
      <c r="F56" s="102" t="s">
        <v>342</v>
      </c>
      <c r="G56" s="102" t="s">
        <v>343</v>
      </c>
      <c r="H56" s="102"/>
      <c r="I56" s="102" t="s">
        <v>344</v>
      </c>
      <c r="J56" s="103">
        <v>60040</v>
      </c>
      <c r="K56" s="103">
        <v>42628</v>
      </c>
      <c r="L56" s="103" t="s">
        <v>180</v>
      </c>
      <c r="M56" s="104" t="s">
        <v>193</v>
      </c>
      <c r="N56" s="102" t="s">
        <v>180</v>
      </c>
      <c r="O56" s="102" t="s">
        <v>172</v>
      </c>
      <c r="P56" s="102" t="s">
        <v>176</v>
      </c>
      <c r="Q56" s="102" t="s">
        <v>173</v>
      </c>
      <c r="R56" s="101" t="s">
        <v>120</v>
      </c>
      <c r="S56" s="101"/>
      <c r="T56" s="101"/>
      <c r="U56" s="181" t="s">
        <v>611</v>
      </c>
      <c r="V56" s="101" t="s">
        <v>14</v>
      </c>
      <c r="W56" s="105" t="s">
        <v>656</v>
      </c>
      <c r="X56" s="105">
        <v>45918</v>
      </c>
      <c r="Y56" s="105">
        <v>46647</v>
      </c>
      <c r="Z56" s="102" t="s">
        <v>544</v>
      </c>
      <c r="AA56" s="12" t="s">
        <v>608</v>
      </c>
    </row>
    <row r="57" spans="1:27" ht="62.5" x14ac:dyDescent="0.35">
      <c r="A57" s="101">
        <v>57</v>
      </c>
      <c r="B57" s="101" t="s">
        <v>225</v>
      </c>
      <c r="C57" s="101" t="s">
        <v>331</v>
      </c>
      <c r="D57" s="111" t="s">
        <v>195</v>
      </c>
      <c r="E57" s="111" t="s">
        <v>332</v>
      </c>
      <c r="F57" s="102" t="s">
        <v>49</v>
      </c>
      <c r="G57" s="102" t="s">
        <v>244</v>
      </c>
      <c r="H57" s="102"/>
      <c r="I57" s="102" t="s">
        <v>333</v>
      </c>
      <c r="J57" s="103">
        <v>123478.39999999998</v>
      </c>
      <c r="K57" s="103">
        <v>35345</v>
      </c>
      <c r="L57" s="104" t="s">
        <v>184</v>
      </c>
      <c r="M57" s="104" t="s">
        <v>194</v>
      </c>
      <c r="N57" s="102" t="s">
        <v>589</v>
      </c>
      <c r="O57" s="102" t="s">
        <v>172</v>
      </c>
      <c r="P57" s="102" t="s">
        <v>176</v>
      </c>
      <c r="Q57" s="102" t="s">
        <v>173</v>
      </c>
      <c r="R57" s="101" t="s">
        <v>120</v>
      </c>
      <c r="S57" s="101">
        <v>0.25</v>
      </c>
      <c r="T57" s="101">
        <v>2</v>
      </c>
      <c r="U57" s="53" t="s">
        <v>230</v>
      </c>
      <c r="V57" s="101" t="s">
        <v>14</v>
      </c>
      <c r="W57" s="109" t="s">
        <v>334</v>
      </c>
      <c r="X57" s="105">
        <v>45258</v>
      </c>
      <c r="Y57" s="105">
        <v>46353</v>
      </c>
      <c r="Z57" s="105" t="s">
        <v>549</v>
      </c>
      <c r="AA57" s="12" t="s">
        <v>608</v>
      </c>
    </row>
    <row r="58" spans="1:27" x14ac:dyDescent="0.35">
      <c r="A58" s="101">
        <v>58</v>
      </c>
      <c r="B58" s="101" t="s">
        <v>225</v>
      </c>
      <c r="C58" s="101" t="s">
        <v>576</v>
      </c>
      <c r="D58" s="111" t="s">
        <v>554</v>
      </c>
      <c r="E58" s="111" t="s">
        <v>577</v>
      </c>
      <c r="F58" s="102" t="s">
        <v>575</v>
      </c>
      <c r="G58" s="102" t="s">
        <v>578</v>
      </c>
      <c r="H58" s="102"/>
      <c r="I58" s="102"/>
      <c r="J58" s="103"/>
      <c r="K58" s="103">
        <v>34698.199999999997</v>
      </c>
      <c r="L58" s="104" t="s">
        <v>184</v>
      </c>
      <c r="M58" s="104" t="s">
        <v>194</v>
      </c>
      <c r="N58" s="104" t="s">
        <v>589</v>
      </c>
      <c r="O58" s="102" t="s">
        <v>170</v>
      </c>
      <c r="P58" s="102" t="s">
        <v>177</v>
      </c>
      <c r="Q58" s="102" t="s">
        <v>174</v>
      </c>
      <c r="R58" s="101" t="s">
        <v>120</v>
      </c>
      <c r="S58" s="101"/>
      <c r="T58" s="101">
        <v>1</v>
      </c>
      <c r="U58" s="53" t="s">
        <v>230</v>
      </c>
      <c r="V58" s="101" t="s">
        <v>14</v>
      </c>
      <c r="W58" s="105"/>
      <c r="X58" s="105">
        <v>46049</v>
      </c>
      <c r="Y58" s="105">
        <v>46413</v>
      </c>
      <c r="Z58" s="102" t="s">
        <v>526</v>
      </c>
    </row>
    <row r="59" spans="1:27" ht="37.5" x14ac:dyDescent="0.35">
      <c r="A59" s="101">
        <v>59</v>
      </c>
      <c r="B59" s="101" t="s">
        <v>225</v>
      </c>
      <c r="C59" s="101" t="s">
        <v>395</v>
      </c>
      <c r="D59" s="111" t="s">
        <v>196</v>
      </c>
      <c r="E59" s="111" t="s">
        <v>396</v>
      </c>
      <c r="F59" s="102" t="s">
        <v>101</v>
      </c>
      <c r="G59" s="102" t="s">
        <v>397</v>
      </c>
      <c r="H59" s="102"/>
      <c r="I59" s="109" t="s">
        <v>398</v>
      </c>
      <c r="J59" s="103">
        <v>25000</v>
      </c>
      <c r="K59" s="103">
        <v>25000</v>
      </c>
      <c r="L59" s="104" t="s">
        <v>180</v>
      </c>
      <c r="M59" s="104" t="s">
        <v>193</v>
      </c>
      <c r="N59" s="102" t="s">
        <v>180</v>
      </c>
      <c r="O59" s="102" t="s">
        <v>170</v>
      </c>
      <c r="P59" s="102" t="s">
        <v>176</v>
      </c>
      <c r="Q59" s="102" t="s">
        <v>173</v>
      </c>
      <c r="R59" s="101" t="s">
        <v>179</v>
      </c>
      <c r="S59" s="101"/>
      <c r="T59" s="101"/>
      <c r="U59" s="53" t="s">
        <v>230</v>
      </c>
      <c r="V59" s="101" t="s">
        <v>14</v>
      </c>
      <c r="W59" s="105" t="s">
        <v>644</v>
      </c>
      <c r="X59" s="105">
        <v>45777</v>
      </c>
      <c r="Y59" s="105">
        <v>46141</v>
      </c>
      <c r="Z59" s="105"/>
    </row>
    <row r="60" spans="1:27" x14ac:dyDescent="0.35">
      <c r="A60" s="101">
        <v>60</v>
      </c>
      <c r="B60" s="101" t="s">
        <v>232</v>
      </c>
      <c r="C60" s="101" t="s">
        <v>370</v>
      </c>
      <c r="D60" s="111" t="s">
        <v>195</v>
      </c>
      <c r="E60" s="111" t="s">
        <v>371</v>
      </c>
      <c r="F60" s="102" t="s">
        <v>372</v>
      </c>
      <c r="G60" s="102" t="s">
        <v>373</v>
      </c>
      <c r="H60" s="102" t="s">
        <v>245</v>
      </c>
      <c r="I60" s="102"/>
      <c r="J60" s="103">
        <v>21840</v>
      </c>
      <c r="K60" s="103">
        <v>21840</v>
      </c>
      <c r="L60" s="103" t="s">
        <v>184</v>
      </c>
      <c r="M60" s="104" t="s">
        <v>193</v>
      </c>
      <c r="N60" s="102" t="s">
        <v>590</v>
      </c>
      <c r="O60" s="102" t="s">
        <v>170</v>
      </c>
      <c r="P60" s="102" t="s">
        <v>176</v>
      </c>
      <c r="Q60" s="102" t="s">
        <v>173</v>
      </c>
      <c r="R60" s="101" t="s">
        <v>120</v>
      </c>
      <c r="S60" s="101">
        <v>2</v>
      </c>
      <c r="T60" s="101"/>
      <c r="U60" s="53" t="s">
        <v>230</v>
      </c>
      <c r="V60" s="101"/>
      <c r="W60" s="105"/>
      <c r="X60" s="105">
        <v>45888</v>
      </c>
      <c r="Y60" s="105">
        <v>46617</v>
      </c>
      <c r="Z60" s="102" t="s">
        <v>374</v>
      </c>
      <c r="AA60" s="12" t="s">
        <v>170</v>
      </c>
    </row>
    <row r="61" spans="1:27" ht="14.5" x14ac:dyDescent="0.35">
      <c r="A61" s="101">
        <v>61</v>
      </c>
      <c r="B61" s="101" t="s">
        <v>225</v>
      </c>
      <c r="C61" s="101" t="s">
        <v>267</v>
      </c>
      <c r="D61" s="111" t="s">
        <v>197</v>
      </c>
      <c r="E61" s="111" t="s">
        <v>268</v>
      </c>
      <c r="F61" s="110" t="s">
        <v>269</v>
      </c>
      <c r="G61" s="102" t="s">
        <v>270</v>
      </c>
      <c r="H61" s="102" t="s">
        <v>257</v>
      </c>
      <c r="I61" s="102" t="s">
        <v>271</v>
      </c>
      <c r="J61" s="103">
        <v>21700</v>
      </c>
      <c r="K61" s="103">
        <v>21700</v>
      </c>
      <c r="L61" s="104" t="s">
        <v>180</v>
      </c>
      <c r="M61" s="104" t="s">
        <v>193</v>
      </c>
      <c r="N61" s="102" t="s">
        <v>180</v>
      </c>
      <c r="O61" s="102" t="s">
        <v>170</v>
      </c>
      <c r="P61" s="102" t="s">
        <v>122</v>
      </c>
      <c r="Q61" s="102" t="s">
        <v>171</v>
      </c>
      <c r="R61" s="101" t="s">
        <v>182</v>
      </c>
      <c r="S61" s="101">
        <v>0.25</v>
      </c>
      <c r="T61" s="101">
        <v>3.5</v>
      </c>
      <c r="U61" s="53" t="s">
        <v>230</v>
      </c>
      <c r="V61" s="101" t="s">
        <v>14</v>
      </c>
      <c r="W61" s="109"/>
      <c r="X61" s="127">
        <v>45742</v>
      </c>
      <c r="Y61" s="127">
        <v>46471</v>
      </c>
      <c r="Z61" s="105" t="s">
        <v>524</v>
      </c>
    </row>
    <row r="62" spans="1:27" ht="25" x14ac:dyDescent="0.35">
      <c r="A62" s="101">
        <v>62</v>
      </c>
      <c r="B62" s="101" t="s">
        <v>225</v>
      </c>
      <c r="C62" s="101" t="s">
        <v>399</v>
      </c>
      <c r="D62" s="111" t="s">
        <v>191</v>
      </c>
      <c r="E62" s="111" t="s">
        <v>400</v>
      </c>
      <c r="F62" s="102" t="s">
        <v>401</v>
      </c>
      <c r="G62" s="102" t="s">
        <v>402</v>
      </c>
      <c r="H62" s="102"/>
      <c r="I62" s="109" t="s">
        <v>403</v>
      </c>
      <c r="J62" s="103">
        <v>15000</v>
      </c>
      <c r="K62" s="103">
        <v>15000</v>
      </c>
      <c r="L62" s="104" t="s">
        <v>180</v>
      </c>
      <c r="M62" s="104" t="s">
        <v>194</v>
      </c>
      <c r="N62" s="102" t="s">
        <v>180</v>
      </c>
      <c r="O62" s="102" t="s">
        <v>170</v>
      </c>
      <c r="P62" s="102" t="s">
        <v>177</v>
      </c>
      <c r="Q62" s="102" t="s">
        <v>174</v>
      </c>
      <c r="R62" s="101" t="s">
        <v>120</v>
      </c>
      <c r="S62" s="101"/>
      <c r="T62" s="101"/>
      <c r="U62" s="53" t="s">
        <v>230</v>
      </c>
      <c r="V62" s="101" t="s">
        <v>14</v>
      </c>
      <c r="W62" s="105" t="s">
        <v>648</v>
      </c>
      <c r="X62" s="105">
        <v>45868</v>
      </c>
      <c r="Y62" s="105">
        <v>46597</v>
      </c>
      <c r="Z62" s="105" t="s">
        <v>524</v>
      </c>
    </row>
    <row r="63" spans="1:27" ht="25" x14ac:dyDescent="0.35">
      <c r="A63" s="101">
        <v>63</v>
      </c>
      <c r="B63" s="101" t="s">
        <v>225</v>
      </c>
      <c r="C63" s="101" t="s">
        <v>404</v>
      </c>
      <c r="D63" s="111" t="s">
        <v>191</v>
      </c>
      <c r="E63" s="111" t="s">
        <v>400</v>
      </c>
      <c r="F63" s="102" t="s">
        <v>103</v>
      </c>
      <c r="G63" s="102" t="s">
        <v>402</v>
      </c>
      <c r="H63" s="102"/>
      <c r="I63" s="109" t="s">
        <v>403</v>
      </c>
      <c r="J63" s="103">
        <v>6000</v>
      </c>
      <c r="K63" s="103">
        <v>6000</v>
      </c>
      <c r="L63" s="104" t="s">
        <v>180</v>
      </c>
      <c r="M63" s="104" t="s">
        <v>194</v>
      </c>
      <c r="N63" s="102" t="s">
        <v>180</v>
      </c>
      <c r="O63" s="102" t="s">
        <v>170</v>
      </c>
      <c r="P63" s="102" t="s">
        <v>177</v>
      </c>
      <c r="Q63" s="102" t="s">
        <v>174</v>
      </c>
      <c r="R63" s="101" t="s">
        <v>120</v>
      </c>
      <c r="S63" s="101"/>
      <c r="T63" s="101"/>
      <c r="U63" s="53" t="s">
        <v>230</v>
      </c>
      <c r="V63" s="101" t="s">
        <v>14</v>
      </c>
      <c r="W63" s="105" t="s">
        <v>648</v>
      </c>
      <c r="X63" s="105">
        <v>45868</v>
      </c>
      <c r="Y63" s="105">
        <v>46597</v>
      </c>
      <c r="Z63" s="105" t="s">
        <v>524</v>
      </c>
    </row>
    <row r="64" spans="1:27" x14ac:dyDescent="0.35">
      <c r="A64" s="101">
        <v>64</v>
      </c>
      <c r="B64" s="101" t="s">
        <v>225</v>
      </c>
      <c r="C64" s="101" t="s">
        <v>579</v>
      </c>
      <c r="D64" s="111" t="s">
        <v>197</v>
      </c>
      <c r="E64" s="111" t="s">
        <v>581</v>
      </c>
      <c r="F64" s="102" t="s">
        <v>580</v>
      </c>
      <c r="G64" s="102" t="s">
        <v>582</v>
      </c>
      <c r="H64" s="102" t="s">
        <v>387</v>
      </c>
      <c r="I64" s="102"/>
      <c r="J64" s="103"/>
      <c r="K64" s="103">
        <v>5000</v>
      </c>
      <c r="L64" s="104" t="s">
        <v>184</v>
      </c>
      <c r="M64" s="104" t="s">
        <v>194</v>
      </c>
      <c r="N64" s="102" t="s">
        <v>185</v>
      </c>
      <c r="O64" s="102" t="s">
        <v>170</v>
      </c>
      <c r="P64" s="102" t="s">
        <v>176</v>
      </c>
      <c r="Q64" s="102" t="s">
        <v>171</v>
      </c>
      <c r="R64" s="101" t="s">
        <v>120</v>
      </c>
      <c r="S64" s="101"/>
      <c r="T64" s="101">
        <v>1.5</v>
      </c>
      <c r="U64" s="53" t="s">
        <v>230</v>
      </c>
      <c r="V64" s="101" t="s">
        <v>14</v>
      </c>
      <c r="W64" s="105" t="s">
        <v>583</v>
      </c>
      <c r="X64" s="105">
        <v>46051</v>
      </c>
      <c r="Y64" s="105">
        <v>46780</v>
      </c>
      <c r="Z64" s="102" t="s">
        <v>526</v>
      </c>
      <c r="AA64" s="12" t="s">
        <v>170</v>
      </c>
    </row>
    <row r="65" spans="1:27" ht="37.5" x14ac:dyDescent="0.35">
      <c r="A65" s="101">
        <v>65</v>
      </c>
      <c r="B65" s="101" t="s">
        <v>225</v>
      </c>
      <c r="C65" s="101" t="s">
        <v>309</v>
      </c>
      <c r="D65" s="111" t="s">
        <v>196</v>
      </c>
      <c r="E65" s="111" t="s">
        <v>310</v>
      </c>
      <c r="F65" s="102" t="s">
        <v>107</v>
      </c>
      <c r="G65" s="109" t="s">
        <v>605</v>
      </c>
      <c r="H65" s="102" t="s">
        <v>257</v>
      </c>
      <c r="I65" s="109" t="s">
        <v>312</v>
      </c>
      <c r="J65" s="103">
        <v>5085</v>
      </c>
      <c r="K65" s="103">
        <v>3993.75</v>
      </c>
      <c r="L65" s="104" t="s">
        <v>180</v>
      </c>
      <c r="M65" s="104" t="s">
        <v>193</v>
      </c>
      <c r="N65" s="102" t="s">
        <v>180</v>
      </c>
      <c r="O65" s="102" t="s">
        <v>170</v>
      </c>
      <c r="P65" s="102" t="s">
        <v>177</v>
      </c>
      <c r="Q65" s="102" t="s">
        <v>174</v>
      </c>
      <c r="R65" s="179" t="s">
        <v>182</v>
      </c>
      <c r="S65" s="101"/>
      <c r="T65" s="101"/>
      <c r="U65" s="53" t="s">
        <v>230</v>
      </c>
      <c r="V65" s="101" t="s">
        <v>14</v>
      </c>
      <c r="W65" s="105" t="s">
        <v>645</v>
      </c>
      <c r="X65" s="105">
        <v>45860</v>
      </c>
      <c r="Y65" s="105">
        <v>46589</v>
      </c>
      <c r="Z65" s="105" t="s">
        <v>525</v>
      </c>
      <c r="AA65" s="12" t="s">
        <v>170</v>
      </c>
    </row>
    <row r="66" spans="1:27" ht="25" x14ac:dyDescent="0.35">
      <c r="A66" s="101">
        <v>66</v>
      </c>
      <c r="B66" s="101" t="s">
        <v>225</v>
      </c>
      <c r="C66" s="101" t="s">
        <v>553</v>
      </c>
      <c r="D66" s="111" t="s">
        <v>554</v>
      </c>
      <c r="E66" s="111" t="s">
        <v>200</v>
      </c>
      <c r="F66" s="102" t="s">
        <v>552</v>
      </c>
      <c r="G66" s="102"/>
      <c r="H66" s="102"/>
      <c r="I66" s="102"/>
      <c r="J66" s="103"/>
      <c r="K66" s="103">
        <v>0</v>
      </c>
      <c r="L66" s="104" t="s">
        <v>184</v>
      </c>
      <c r="M66" s="104" t="s">
        <v>194</v>
      </c>
      <c r="N66" s="104" t="s">
        <v>589</v>
      </c>
      <c r="O66" s="102" t="s">
        <v>172</v>
      </c>
      <c r="P66" s="102" t="s">
        <v>176</v>
      </c>
      <c r="Q66" s="102" t="s">
        <v>171</v>
      </c>
      <c r="R66" s="101" t="s">
        <v>120</v>
      </c>
      <c r="S66" s="101">
        <v>1</v>
      </c>
      <c r="T66" s="101"/>
      <c r="U66" s="53" t="s">
        <v>230</v>
      </c>
      <c r="V66" s="101" t="s">
        <v>14</v>
      </c>
      <c r="W66" s="105" t="s">
        <v>556</v>
      </c>
      <c r="X66" s="105">
        <v>45986</v>
      </c>
      <c r="Y66" s="105">
        <v>46350</v>
      </c>
      <c r="Z66" s="102" t="s">
        <v>555</v>
      </c>
      <c r="AA66" s="12" t="s">
        <v>608</v>
      </c>
    </row>
    <row r="78" spans="1:27" x14ac:dyDescent="0.35">
      <c r="F78" s="12">
        <f>150*5</f>
        <v>750</v>
      </c>
    </row>
  </sheetData>
  <autoFilter ref="A1:AA66" xr:uid="{80A354DF-22B1-4C79-8996-9D63A7B14261}"/>
  <sortState xmlns:xlrd2="http://schemas.microsoft.com/office/spreadsheetml/2017/richdata2" ref="A2:Z78">
    <sortCondition ref="R2:R78"/>
  </sortState>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CC6A5-E791-4B51-81BF-11E4E63C5CC1}">
  <dimension ref="A1:W76"/>
  <sheetViews>
    <sheetView showGridLines="0" zoomScaleNormal="100" workbookViewId="0">
      <pane xSplit="2" ySplit="1" topLeftCell="C62" activePane="bottomRight" state="frozen"/>
      <selection pane="topRight" activeCell="C1" sqref="C1"/>
      <selection pane="bottomLeft" activeCell="A2" sqref="A2"/>
      <selection pane="bottomRight" activeCell="B76" sqref="B76"/>
    </sheetView>
  </sheetViews>
  <sheetFormatPr defaultColWidth="20" defaultRowHeight="12.5" x14ac:dyDescent="0.35"/>
  <cols>
    <col min="1" max="1" width="5.453125" style="9" bestFit="1" customWidth="1"/>
    <col min="2" max="2" width="71" style="12" bestFit="1" customWidth="1"/>
    <col min="3" max="3" width="14.453125" style="12" bestFit="1" customWidth="1"/>
    <col min="4" max="4" width="18.1796875" style="12" bestFit="1" customWidth="1"/>
    <col min="5" max="5" width="14.81640625" style="12" customWidth="1"/>
    <col min="6" max="6" width="13.81640625" style="12" bestFit="1" customWidth="1"/>
    <col min="7" max="7" width="14" style="12" bestFit="1" customWidth="1"/>
    <col min="8" max="8" width="12.81640625" style="62" customWidth="1"/>
    <col min="9" max="9" width="11.7265625" style="9" bestFit="1" customWidth="1"/>
    <col min="10" max="11" width="10.1796875" style="9" hidden="1" customWidth="1"/>
    <col min="12" max="12" width="9.81640625" style="9" bestFit="1" customWidth="1"/>
    <col min="13" max="13" width="7.81640625" style="9" customWidth="1"/>
    <col min="14" max="14" width="33.54296875" style="12" bestFit="1" customWidth="1"/>
    <col min="15" max="15" width="33.54296875" style="12" customWidth="1"/>
    <col min="16" max="16" width="19.81640625" style="12" bestFit="1" customWidth="1"/>
    <col min="17" max="16384" width="20" style="12"/>
  </cols>
  <sheetData>
    <row r="1" spans="1:17" s="9" customFormat="1" ht="26" x14ac:dyDescent="0.35">
      <c r="A1" s="8" t="s">
        <v>23</v>
      </c>
      <c r="B1" s="8" t="s">
        <v>24</v>
      </c>
      <c r="C1" s="8" t="s">
        <v>211</v>
      </c>
      <c r="D1" s="8" t="s">
        <v>212</v>
      </c>
      <c r="E1" s="8" t="s">
        <v>214</v>
      </c>
      <c r="F1" s="8" t="s">
        <v>215</v>
      </c>
      <c r="G1" s="8" t="s">
        <v>115</v>
      </c>
      <c r="H1" s="8" t="s">
        <v>216</v>
      </c>
      <c r="I1" s="8" t="s">
        <v>116</v>
      </c>
      <c r="J1" s="8" t="s">
        <v>217</v>
      </c>
      <c r="K1" s="8" t="s">
        <v>218</v>
      </c>
      <c r="L1" s="8" t="s">
        <v>219</v>
      </c>
      <c r="M1" s="8" t="s">
        <v>220</v>
      </c>
      <c r="N1" s="8" t="s">
        <v>456</v>
      </c>
      <c r="O1" s="8" t="s">
        <v>222</v>
      </c>
      <c r="P1" s="8" t="s">
        <v>223</v>
      </c>
    </row>
    <row r="2" spans="1:17" x14ac:dyDescent="0.35">
      <c r="A2" s="10">
        <v>59</v>
      </c>
      <c r="B2" s="11" t="s">
        <v>520</v>
      </c>
      <c r="C2" s="52">
        <v>1600000</v>
      </c>
      <c r="D2" s="11" t="s">
        <v>183</v>
      </c>
      <c r="E2" s="11" t="s">
        <v>193</v>
      </c>
      <c r="F2" s="11" t="s">
        <v>170</v>
      </c>
      <c r="G2" s="11" t="s">
        <v>177</v>
      </c>
      <c r="H2" s="11" t="s">
        <v>173</v>
      </c>
      <c r="I2" s="10" t="s">
        <v>459</v>
      </c>
      <c r="J2" s="144" t="s">
        <v>180</v>
      </c>
      <c r="K2" s="144" t="s">
        <v>194</v>
      </c>
      <c r="L2" s="53" t="s">
        <v>230</v>
      </c>
      <c r="M2" s="10" t="s">
        <v>14</v>
      </c>
      <c r="N2" s="64">
        <v>45960</v>
      </c>
      <c r="O2" s="133">
        <v>45016</v>
      </c>
      <c r="P2" s="133">
        <v>46111</v>
      </c>
    </row>
    <row r="3" spans="1:17" x14ac:dyDescent="0.35">
      <c r="A3" s="10">
        <v>16</v>
      </c>
      <c r="B3" s="11" t="s">
        <v>369</v>
      </c>
      <c r="C3" s="52">
        <v>1021714</v>
      </c>
      <c r="D3" s="144" t="s">
        <v>184</v>
      </c>
      <c r="E3" s="144" t="s">
        <v>194</v>
      </c>
      <c r="F3" s="41" t="s">
        <v>170</v>
      </c>
      <c r="G3" s="11" t="s">
        <v>122</v>
      </c>
      <c r="H3" s="11" t="s">
        <v>171</v>
      </c>
      <c r="I3" s="11" t="s">
        <v>459</v>
      </c>
      <c r="J3" s="10" t="s">
        <v>459</v>
      </c>
      <c r="K3" s="10">
        <v>3</v>
      </c>
      <c r="L3" s="53" t="s">
        <v>230</v>
      </c>
      <c r="M3" s="10" t="s">
        <v>14</v>
      </c>
      <c r="N3" s="150">
        <v>46062</v>
      </c>
      <c r="O3" s="133">
        <v>44957</v>
      </c>
      <c r="P3" s="133">
        <v>46062</v>
      </c>
      <c r="Q3" s="157" t="s">
        <v>524</v>
      </c>
    </row>
    <row r="4" spans="1:17" ht="17.149999999999999" customHeight="1" x14ac:dyDescent="0.35">
      <c r="A4" s="10">
        <v>47</v>
      </c>
      <c r="B4" s="11" t="s">
        <v>61</v>
      </c>
      <c r="C4" s="52">
        <v>537150</v>
      </c>
      <c r="D4" s="11" t="s">
        <v>183</v>
      </c>
      <c r="E4" s="6" t="s">
        <v>193</v>
      </c>
      <c r="F4" s="11" t="s">
        <v>172</v>
      </c>
      <c r="G4" s="11" t="s">
        <v>176</v>
      </c>
      <c r="H4" s="11" t="s">
        <v>171</v>
      </c>
      <c r="I4" s="10" t="s">
        <v>459</v>
      </c>
      <c r="J4" s="10" t="s">
        <v>180</v>
      </c>
      <c r="K4" s="10" t="s">
        <v>193</v>
      </c>
      <c r="L4" s="53" t="s">
        <v>230</v>
      </c>
      <c r="M4" s="10" t="s">
        <v>14</v>
      </c>
      <c r="N4" s="64">
        <v>45910</v>
      </c>
      <c r="O4" s="57">
        <v>45687</v>
      </c>
      <c r="P4" s="57">
        <v>46417</v>
      </c>
    </row>
    <row r="5" spans="1:17" ht="17.149999999999999" customHeight="1" x14ac:dyDescent="0.35">
      <c r="A5" s="10">
        <v>60</v>
      </c>
      <c r="B5" s="11" t="s">
        <v>521</v>
      </c>
      <c r="C5" s="52">
        <v>358527</v>
      </c>
      <c r="D5" s="11" t="s">
        <v>183</v>
      </c>
      <c r="E5" s="144" t="s">
        <v>193</v>
      </c>
      <c r="F5" s="11" t="s">
        <v>172</v>
      </c>
      <c r="G5" s="11" t="s">
        <v>176</v>
      </c>
      <c r="H5" s="11" t="s">
        <v>171</v>
      </c>
      <c r="I5" s="10" t="s">
        <v>459</v>
      </c>
      <c r="J5" s="10"/>
      <c r="K5" s="10"/>
      <c r="L5" s="53" t="s">
        <v>230</v>
      </c>
      <c r="M5" s="10" t="s">
        <v>14</v>
      </c>
      <c r="N5" s="64">
        <v>45976</v>
      </c>
      <c r="O5" s="133">
        <v>45685</v>
      </c>
      <c r="P5" s="133">
        <v>46416</v>
      </c>
    </row>
    <row r="6" spans="1:17" ht="17.149999999999999" customHeight="1" x14ac:dyDescent="0.35">
      <c r="A6" s="10">
        <v>61</v>
      </c>
      <c r="B6" s="11" t="s">
        <v>259</v>
      </c>
      <c r="C6" s="52">
        <v>358527</v>
      </c>
      <c r="D6" s="11" t="s">
        <v>183</v>
      </c>
      <c r="E6" s="144" t="s">
        <v>193</v>
      </c>
      <c r="F6" s="11" t="s">
        <v>172</v>
      </c>
      <c r="G6" s="11" t="s">
        <v>176</v>
      </c>
      <c r="H6" s="11" t="s">
        <v>176</v>
      </c>
      <c r="I6" s="10" t="s">
        <v>459</v>
      </c>
      <c r="J6" s="11" t="s">
        <v>171</v>
      </c>
      <c r="K6" s="10" t="s">
        <v>459</v>
      </c>
      <c r="L6" s="53" t="s">
        <v>230</v>
      </c>
      <c r="M6" s="10" t="s">
        <v>14</v>
      </c>
      <c r="N6" s="133">
        <v>45981</v>
      </c>
      <c r="O6" s="133">
        <v>45377</v>
      </c>
      <c r="P6" s="133">
        <v>46109</v>
      </c>
      <c r="Q6" s="9"/>
    </row>
    <row r="7" spans="1:17" ht="17.149999999999999" customHeight="1" x14ac:dyDescent="0.35">
      <c r="A7" s="10">
        <v>43</v>
      </c>
      <c r="B7" s="7" t="s">
        <v>510</v>
      </c>
      <c r="C7" s="52">
        <v>325080</v>
      </c>
      <c r="D7" s="11" t="s">
        <v>180</v>
      </c>
      <c r="E7" s="6" t="s">
        <v>183</v>
      </c>
      <c r="F7" s="11" t="s">
        <v>172</v>
      </c>
      <c r="G7" s="11" t="s">
        <v>177</v>
      </c>
      <c r="H7" s="11" t="s">
        <v>174</v>
      </c>
      <c r="I7" s="10" t="s">
        <v>459</v>
      </c>
      <c r="J7" s="10"/>
      <c r="K7" s="10"/>
      <c r="L7" s="53" t="s">
        <v>230</v>
      </c>
      <c r="M7" s="10" t="s">
        <v>14</v>
      </c>
      <c r="N7" s="64">
        <v>45869</v>
      </c>
      <c r="O7" s="57">
        <v>45660</v>
      </c>
      <c r="P7" s="57">
        <v>45869</v>
      </c>
    </row>
    <row r="8" spans="1:17" ht="17.149999999999999" customHeight="1" x14ac:dyDescent="0.35">
      <c r="A8" s="10">
        <v>33</v>
      </c>
      <c r="B8" s="11" t="s">
        <v>499</v>
      </c>
      <c r="C8" s="52">
        <v>319550</v>
      </c>
      <c r="D8" s="60" t="s">
        <v>500</v>
      </c>
      <c r="E8" s="6" t="s">
        <v>501</v>
      </c>
      <c r="F8" s="11" t="s">
        <v>172</v>
      </c>
      <c r="G8" s="11" t="s">
        <v>176</v>
      </c>
      <c r="H8" s="11" t="s">
        <v>173</v>
      </c>
      <c r="I8" s="10" t="s">
        <v>459</v>
      </c>
      <c r="J8" s="10">
        <v>0.25</v>
      </c>
      <c r="K8" s="10">
        <v>4.25</v>
      </c>
      <c r="L8" s="53" t="s">
        <v>230</v>
      </c>
      <c r="M8" s="10" t="s">
        <v>14</v>
      </c>
      <c r="N8" s="64">
        <v>45824</v>
      </c>
      <c r="O8" s="57">
        <v>45168</v>
      </c>
      <c r="P8" s="57">
        <v>45899</v>
      </c>
    </row>
    <row r="9" spans="1:17" ht="17.149999999999999" customHeight="1" x14ac:dyDescent="0.35">
      <c r="A9" s="10">
        <v>31</v>
      </c>
      <c r="B9" s="11" t="s">
        <v>496</v>
      </c>
      <c r="C9" s="52">
        <v>289346</v>
      </c>
      <c r="D9" s="28" t="s">
        <v>184</v>
      </c>
      <c r="E9" s="11" t="s">
        <v>497</v>
      </c>
      <c r="F9" s="11" t="s">
        <v>170</v>
      </c>
      <c r="G9" s="11" t="s">
        <v>176</v>
      </c>
      <c r="H9" s="11" t="s">
        <v>171</v>
      </c>
      <c r="I9" s="10" t="s">
        <v>459</v>
      </c>
      <c r="J9" s="10"/>
      <c r="K9" s="10"/>
      <c r="L9" s="53" t="s">
        <v>230</v>
      </c>
      <c r="M9" s="10" t="s">
        <v>14</v>
      </c>
      <c r="N9" s="64">
        <v>45353</v>
      </c>
      <c r="O9" s="57">
        <v>45229</v>
      </c>
      <c r="P9" s="57">
        <v>45429</v>
      </c>
    </row>
    <row r="10" spans="1:17" ht="17.149999999999999" customHeight="1" x14ac:dyDescent="0.35">
      <c r="A10" s="10">
        <v>28</v>
      </c>
      <c r="B10" s="144" t="s">
        <v>39</v>
      </c>
      <c r="C10" s="52">
        <v>240000</v>
      </c>
      <c r="D10" s="11" t="s">
        <v>188</v>
      </c>
      <c r="E10" s="144" t="s">
        <v>194</v>
      </c>
      <c r="F10" s="11" t="s">
        <v>170</v>
      </c>
      <c r="G10" s="11" t="s">
        <v>177</v>
      </c>
      <c r="H10" s="11" t="s">
        <v>174</v>
      </c>
      <c r="I10" s="10" t="s">
        <v>459</v>
      </c>
      <c r="J10" s="10" t="s">
        <v>120</v>
      </c>
      <c r="K10" s="10"/>
      <c r="L10" s="53" t="s">
        <v>230</v>
      </c>
      <c r="M10" s="10" t="s">
        <v>14</v>
      </c>
      <c r="N10" s="151">
        <v>46006</v>
      </c>
      <c r="O10" s="133">
        <v>45642</v>
      </c>
      <c r="P10" s="133">
        <v>46371</v>
      </c>
    </row>
    <row r="11" spans="1:17" ht="17.149999999999999" customHeight="1" x14ac:dyDescent="0.35">
      <c r="A11" s="10">
        <v>10</v>
      </c>
      <c r="B11" s="11" t="s">
        <v>468</v>
      </c>
      <c r="C11" s="52">
        <v>225170</v>
      </c>
      <c r="D11" s="11" t="s">
        <v>184</v>
      </c>
      <c r="E11" s="6" t="s">
        <v>458</v>
      </c>
      <c r="F11" s="11" t="s">
        <v>172</v>
      </c>
      <c r="G11" s="11" t="s">
        <v>176</v>
      </c>
      <c r="H11" s="11" t="s">
        <v>171</v>
      </c>
      <c r="I11" s="10" t="s">
        <v>469</v>
      </c>
      <c r="J11" s="10">
        <v>1</v>
      </c>
      <c r="K11" s="10">
        <v>1</v>
      </c>
      <c r="L11" s="53" t="s">
        <v>230</v>
      </c>
      <c r="M11" s="10" t="s">
        <v>14</v>
      </c>
      <c r="N11" s="130">
        <v>45855</v>
      </c>
      <c r="O11" s="11"/>
      <c r="P11" s="57">
        <v>45924</v>
      </c>
    </row>
    <row r="12" spans="1:17" ht="17.149999999999999" customHeight="1" x14ac:dyDescent="0.35">
      <c r="A12" s="10">
        <v>9</v>
      </c>
      <c r="B12" s="11" t="s">
        <v>467</v>
      </c>
      <c r="C12" s="52">
        <v>205480</v>
      </c>
      <c r="D12" s="11" t="s">
        <v>184</v>
      </c>
      <c r="E12" s="6" t="s">
        <v>458</v>
      </c>
      <c r="F12" s="11" t="s">
        <v>172</v>
      </c>
      <c r="G12" s="11" t="s">
        <v>176</v>
      </c>
      <c r="H12" s="11" t="s">
        <v>171</v>
      </c>
      <c r="I12" s="10" t="s">
        <v>459</v>
      </c>
      <c r="J12" s="10">
        <v>1</v>
      </c>
      <c r="K12" s="10">
        <v>0</v>
      </c>
      <c r="L12" s="53" t="s">
        <v>230</v>
      </c>
      <c r="M12" s="10" t="s">
        <v>14</v>
      </c>
      <c r="N12" s="57">
        <v>45709</v>
      </c>
      <c r="O12" s="11"/>
      <c r="P12" s="57">
        <v>45686</v>
      </c>
    </row>
    <row r="13" spans="1:17" ht="17.149999999999999" customHeight="1" x14ac:dyDescent="0.35">
      <c r="A13" s="10">
        <v>28</v>
      </c>
      <c r="B13" s="11" t="s">
        <v>492</v>
      </c>
      <c r="C13" s="52">
        <v>205480</v>
      </c>
      <c r="D13" s="11" t="s">
        <v>184</v>
      </c>
      <c r="E13" s="6" t="s">
        <v>458</v>
      </c>
      <c r="F13" s="11" t="s">
        <v>170</v>
      </c>
      <c r="G13" s="11" t="s">
        <v>176</v>
      </c>
      <c r="H13" s="11" t="s">
        <v>174</v>
      </c>
      <c r="I13" s="10" t="s">
        <v>459</v>
      </c>
      <c r="J13" s="10">
        <v>1</v>
      </c>
      <c r="K13" s="10">
        <v>0</v>
      </c>
      <c r="L13" s="53" t="s">
        <v>230</v>
      </c>
      <c r="M13" s="10" t="s">
        <v>14</v>
      </c>
      <c r="N13" s="64">
        <v>45787</v>
      </c>
      <c r="O13" s="57">
        <v>45470</v>
      </c>
      <c r="P13" s="57">
        <v>46232</v>
      </c>
    </row>
    <row r="14" spans="1:17" ht="17.149999999999999" customHeight="1" x14ac:dyDescent="0.35">
      <c r="A14" s="10">
        <v>49</v>
      </c>
      <c r="B14" s="11" t="s">
        <v>69</v>
      </c>
      <c r="C14" s="52">
        <v>200000</v>
      </c>
      <c r="D14" s="144" t="s">
        <v>181</v>
      </c>
      <c r="E14" s="144" t="s">
        <v>194</v>
      </c>
      <c r="F14" s="11" t="s">
        <v>170</v>
      </c>
      <c r="G14" s="11" t="s">
        <v>177</v>
      </c>
      <c r="H14" s="11" t="s">
        <v>173</v>
      </c>
      <c r="I14" s="10" t="s">
        <v>459</v>
      </c>
      <c r="J14" s="10" t="s">
        <v>120</v>
      </c>
      <c r="K14" s="52">
        <v>200000</v>
      </c>
      <c r="L14" s="53" t="s">
        <v>230</v>
      </c>
      <c r="M14" s="10" t="s">
        <v>14</v>
      </c>
      <c r="N14" s="133">
        <v>46006</v>
      </c>
      <c r="O14" s="133">
        <v>45755</v>
      </c>
      <c r="P14" s="133">
        <v>46120</v>
      </c>
      <c r="Q14" s="9"/>
    </row>
    <row r="15" spans="1:17" ht="17.149999999999999" customHeight="1" x14ac:dyDescent="0.35">
      <c r="A15" s="10">
        <v>49</v>
      </c>
      <c r="B15" s="11" t="s">
        <v>514</v>
      </c>
      <c r="C15" s="52">
        <v>190855</v>
      </c>
      <c r="D15" s="11" t="s">
        <v>180</v>
      </c>
      <c r="E15" s="6" t="s">
        <v>193</v>
      </c>
      <c r="F15" s="11" t="s">
        <v>172</v>
      </c>
      <c r="G15" s="11" t="s">
        <v>176</v>
      </c>
      <c r="H15" s="11" t="s">
        <v>171</v>
      </c>
      <c r="I15" s="10" t="s">
        <v>459</v>
      </c>
      <c r="J15" s="10"/>
      <c r="K15" s="10"/>
      <c r="L15" s="53" t="s">
        <v>230</v>
      </c>
      <c r="M15" s="10" t="s">
        <v>14</v>
      </c>
      <c r="N15" s="64">
        <v>45930</v>
      </c>
      <c r="O15" s="57">
        <v>45422</v>
      </c>
      <c r="P15" s="57">
        <v>45930</v>
      </c>
    </row>
    <row r="16" spans="1:17" ht="17.149999999999999" customHeight="1" x14ac:dyDescent="0.35">
      <c r="A16" s="10">
        <v>8</v>
      </c>
      <c r="B16" s="11" t="s">
        <v>466</v>
      </c>
      <c r="C16" s="52">
        <v>177200</v>
      </c>
      <c r="D16" s="11" t="s">
        <v>184</v>
      </c>
      <c r="E16" s="6" t="s">
        <v>458</v>
      </c>
      <c r="F16" s="11" t="s">
        <v>170</v>
      </c>
      <c r="G16" s="11" t="s">
        <v>177</v>
      </c>
      <c r="H16" s="11" t="s">
        <v>171</v>
      </c>
      <c r="I16" s="10" t="s">
        <v>459</v>
      </c>
      <c r="J16" s="10">
        <v>0.5</v>
      </c>
      <c r="K16" s="10">
        <v>2</v>
      </c>
      <c r="L16" s="53" t="s">
        <v>230</v>
      </c>
      <c r="M16" s="10" t="s">
        <v>14</v>
      </c>
      <c r="N16" s="130">
        <v>45855</v>
      </c>
      <c r="O16" s="11"/>
      <c r="P16" s="57">
        <v>45835</v>
      </c>
    </row>
    <row r="17" spans="1:17" ht="17.149999999999999" customHeight="1" x14ac:dyDescent="0.35">
      <c r="A17" s="10">
        <v>4</v>
      </c>
      <c r="B17" s="11" t="s">
        <v>27</v>
      </c>
      <c r="C17" s="52">
        <v>175000</v>
      </c>
      <c r="D17" s="144" t="s">
        <v>184</v>
      </c>
      <c r="E17" s="144" t="s">
        <v>194</v>
      </c>
      <c r="F17" s="11" t="s">
        <v>172</v>
      </c>
      <c r="G17" s="11" t="s">
        <v>176</v>
      </c>
      <c r="H17" s="11" t="s">
        <v>173</v>
      </c>
      <c r="I17" s="10" t="s">
        <v>459</v>
      </c>
      <c r="J17" s="10">
        <v>2.5</v>
      </c>
      <c r="K17" s="10">
        <v>2</v>
      </c>
      <c r="L17" s="53" t="s">
        <v>230</v>
      </c>
      <c r="M17" s="10" t="s">
        <v>14</v>
      </c>
      <c r="N17" s="151">
        <v>46048</v>
      </c>
      <c r="O17" s="157">
        <v>44953</v>
      </c>
      <c r="P17" s="133">
        <v>46138</v>
      </c>
      <c r="Q17" s="157"/>
    </row>
    <row r="18" spans="1:17" x14ac:dyDescent="0.35">
      <c r="A18" s="10">
        <v>53</v>
      </c>
      <c r="B18" s="11" t="s">
        <v>516</v>
      </c>
      <c r="C18" s="52">
        <v>162000</v>
      </c>
      <c r="D18" s="144" t="s">
        <v>180</v>
      </c>
      <c r="E18" s="144" t="s">
        <v>193</v>
      </c>
      <c r="F18" s="11" t="s">
        <v>170</v>
      </c>
      <c r="G18" s="11" t="s">
        <v>122</v>
      </c>
      <c r="H18" s="11" t="s">
        <v>171</v>
      </c>
      <c r="I18" s="10" t="s">
        <v>459</v>
      </c>
      <c r="J18" s="10" t="s">
        <v>120</v>
      </c>
      <c r="K18" s="10"/>
      <c r="L18" s="53" t="s">
        <v>230</v>
      </c>
      <c r="M18" s="10" t="s">
        <v>14</v>
      </c>
      <c r="N18" s="64">
        <v>45955</v>
      </c>
      <c r="O18" s="133">
        <v>45587</v>
      </c>
      <c r="P18" s="133">
        <v>45951</v>
      </c>
    </row>
    <row r="19" spans="1:17" ht="17.149999999999999" customHeight="1" x14ac:dyDescent="0.35">
      <c r="A19" s="10">
        <v>23</v>
      </c>
      <c r="B19" s="11" t="s">
        <v>482</v>
      </c>
      <c r="C19" s="52">
        <v>138250</v>
      </c>
      <c r="D19" s="28" t="s">
        <v>181</v>
      </c>
      <c r="E19" s="11" t="s">
        <v>483</v>
      </c>
      <c r="F19" s="11" t="s">
        <v>170</v>
      </c>
      <c r="G19" s="11" t="s">
        <v>177</v>
      </c>
      <c r="H19" s="11" t="s">
        <v>174</v>
      </c>
      <c r="I19" s="10" t="s">
        <v>484</v>
      </c>
      <c r="J19" s="53"/>
      <c r="K19" s="10"/>
      <c r="L19" s="53" t="s">
        <v>230</v>
      </c>
      <c r="M19" s="10" t="s">
        <v>14</v>
      </c>
      <c r="N19" s="11" t="s">
        <v>485</v>
      </c>
      <c r="O19" s="11"/>
      <c r="P19" s="57">
        <v>45534</v>
      </c>
    </row>
    <row r="20" spans="1:17" ht="17.149999999999999" customHeight="1" x14ac:dyDescent="0.35">
      <c r="A20" s="10">
        <v>38</v>
      </c>
      <c r="B20" s="11" t="s">
        <v>506</v>
      </c>
      <c r="C20" s="52">
        <v>136000</v>
      </c>
      <c r="D20" s="28" t="s">
        <v>184</v>
      </c>
      <c r="E20" s="11" t="s">
        <v>458</v>
      </c>
      <c r="F20" s="11" t="s">
        <v>170</v>
      </c>
      <c r="G20" s="11" t="s">
        <v>122</v>
      </c>
      <c r="H20" s="11" t="s">
        <v>171</v>
      </c>
      <c r="I20" s="10" t="s">
        <v>459</v>
      </c>
      <c r="J20" s="10">
        <v>0</v>
      </c>
      <c r="K20" s="10">
        <v>1.25</v>
      </c>
      <c r="L20" s="53" t="s">
        <v>230</v>
      </c>
      <c r="M20" s="10" t="s">
        <v>14</v>
      </c>
      <c r="N20" s="64">
        <v>45856</v>
      </c>
      <c r="O20" s="57">
        <v>44865</v>
      </c>
      <c r="P20" s="57">
        <v>45869</v>
      </c>
    </row>
    <row r="21" spans="1:17" ht="17.149999999999999" customHeight="1" x14ac:dyDescent="0.35">
      <c r="A21" s="10">
        <v>6</v>
      </c>
      <c r="B21" s="11" t="s">
        <v>464</v>
      </c>
      <c r="C21" s="52">
        <v>129365</v>
      </c>
      <c r="D21" s="11" t="s">
        <v>184</v>
      </c>
      <c r="E21" s="6" t="s">
        <v>458</v>
      </c>
      <c r="F21" s="11" t="s">
        <v>170</v>
      </c>
      <c r="G21" s="11" t="s">
        <v>122</v>
      </c>
      <c r="H21" s="11" t="s">
        <v>171</v>
      </c>
      <c r="I21" s="10" t="s">
        <v>459</v>
      </c>
      <c r="J21" s="10"/>
      <c r="K21" s="10"/>
      <c r="L21" s="53" t="s">
        <v>230</v>
      </c>
      <c r="M21" s="10" t="s">
        <v>14</v>
      </c>
      <c r="N21" s="57"/>
      <c r="O21" s="11"/>
      <c r="P21" s="57">
        <v>45595</v>
      </c>
    </row>
    <row r="22" spans="1:17" ht="17.149999999999999" customHeight="1" x14ac:dyDescent="0.35">
      <c r="A22" s="10">
        <v>24</v>
      </c>
      <c r="B22" s="11" t="s">
        <v>486</v>
      </c>
      <c r="C22" s="52">
        <v>126152</v>
      </c>
      <c r="D22" s="28" t="s">
        <v>184</v>
      </c>
      <c r="E22" s="11" t="s">
        <v>458</v>
      </c>
      <c r="F22" s="11" t="s">
        <v>487</v>
      </c>
      <c r="G22" s="11" t="s">
        <v>177</v>
      </c>
      <c r="H22" s="11" t="s">
        <v>174</v>
      </c>
      <c r="I22" s="10" t="s">
        <v>469</v>
      </c>
      <c r="J22" s="53"/>
      <c r="K22" s="10"/>
      <c r="L22" s="53" t="s">
        <v>230</v>
      </c>
      <c r="M22" s="10" t="s">
        <v>14</v>
      </c>
      <c r="N22" s="57" t="s">
        <v>488</v>
      </c>
      <c r="O22" s="57"/>
      <c r="P22" s="11"/>
    </row>
    <row r="23" spans="1:17" ht="17.149999999999999" customHeight="1" x14ac:dyDescent="0.35">
      <c r="A23" s="10">
        <v>27</v>
      </c>
      <c r="B23" s="6" t="s">
        <v>491</v>
      </c>
      <c r="C23" s="52">
        <v>123750</v>
      </c>
      <c r="D23" s="11" t="s">
        <v>184</v>
      </c>
      <c r="E23" s="6" t="s">
        <v>458</v>
      </c>
      <c r="F23" s="11" t="s">
        <v>170</v>
      </c>
      <c r="G23" s="11" t="s">
        <v>177</v>
      </c>
      <c r="H23" s="11" t="s">
        <v>174</v>
      </c>
      <c r="I23" s="10" t="s">
        <v>459</v>
      </c>
      <c r="J23" s="10">
        <v>0</v>
      </c>
      <c r="K23" s="10">
        <v>2</v>
      </c>
      <c r="L23" s="53" t="s">
        <v>230</v>
      </c>
      <c r="M23" s="10" t="s">
        <v>14</v>
      </c>
      <c r="N23" s="64">
        <v>45535</v>
      </c>
      <c r="O23" s="64">
        <v>45211</v>
      </c>
      <c r="P23" s="57">
        <v>45553</v>
      </c>
    </row>
    <row r="24" spans="1:17" ht="17.149999999999999" customHeight="1" x14ac:dyDescent="0.35">
      <c r="A24" s="10">
        <v>41</v>
      </c>
      <c r="B24" s="88" t="s">
        <v>508</v>
      </c>
      <c r="C24" s="82">
        <v>123750</v>
      </c>
      <c r="D24" s="88" t="s">
        <v>184</v>
      </c>
      <c r="E24" s="84" t="s">
        <v>458</v>
      </c>
      <c r="F24" s="88" t="s">
        <v>170</v>
      </c>
      <c r="G24" s="88" t="s">
        <v>177</v>
      </c>
      <c r="H24" s="88" t="s">
        <v>174</v>
      </c>
      <c r="I24" s="89" t="s">
        <v>459</v>
      </c>
      <c r="J24" s="89"/>
      <c r="K24" s="89"/>
      <c r="L24" s="90" t="s">
        <v>230</v>
      </c>
      <c r="M24" s="89" t="s">
        <v>14</v>
      </c>
      <c r="N24" s="92">
        <v>45846</v>
      </c>
      <c r="O24" s="91">
        <v>45484</v>
      </c>
      <c r="P24" s="92">
        <v>45846</v>
      </c>
    </row>
    <row r="25" spans="1:17" ht="13.5" customHeight="1" x14ac:dyDescent="0.35">
      <c r="A25" s="10">
        <v>36</v>
      </c>
      <c r="B25" s="11" t="s">
        <v>504</v>
      </c>
      <c r="C25" s="52">
        <v>115500</v>
      </c>
      <c r="D25" s="11" t="s">
        <v>180</v>
      </c>
      <c r="E25" s="6" t="s">
        <v>183</v>
      </c>
      <c r="F25" s="11" t="s">
        <v>172</v>
      </c>
      <c r="G25" s="11" t="s">
        <v>177</v>
      </c>
      <c r="H25" s="11" t="s">
        <v>173</v>
      </c>
      <c r="I25" s="10" t="s">
        <v>459</v>
      </c>
      <c r="J25" s="10">
        <v>1</v>
      </c>
      <c r="K25" s="10">
        <v>0</v>
      </c>
      <c r="L25" s="53" t="s">
        <v>230</v>
      </c>
      <c r="M25" s="10" t="s">
        <v>14</v>
      </c>
      <c r="N25" s="64">
        <v>45857</v>
      </c>
      <c r="O25" s="57">
        <v>45127</v>
      </c>
      <c r="P25" s="158">
        <v>45857</v>
      </c>
    </row>
    <row r="26" spans="1:17" x14ac:dyDescent="0.35">
      <c r="A26" s="10">
        <v>50</v>
      </c>
      <c r="B26" s="11" t="s">
        <v>515</v>
      </c>
      <c r="C26" s="52">
        <v>115200</v>
      </c>
      <c r="D26" s="11" t="s">
        <v>184</v>
      </c>
      <c r="E26" s="6" t="s">
        <v>194</v>
      </c>
      <c r="F26" s="11" t="s">
        <v>170</v>
      </c>
      <c r="G26" s="11" t="s">
        <v>177</v>
      </c>
      <c r="H26" s="11" t="s">
        <v>174</v>
      </c>
      <c r="I26" s="10" t="s">
        <v>459</v>
      </c>
      <c r="J26" s="10" t="s">
        <v>459</v>
      </c>
      <c r="K26" s="10" t="s">
        <v>230</v>
      </c>
      <c r="L26" s="53" t="s">
        <v>230</v>
      </c>
      <c r="M26" s="10" t="s">
        <v>14</v>
      </c>
      <c r="N26" s="64">
        <v>45924</v>
      </c>
      <c r="O26" s="57">
        <v>45688</v>
      </c>
      <c r="P26" s="57">
        <v>45924</v>
      </c>
    </row>
    <row r="27" spans="1:17" x14ac:dyDescent="0.35">
      <c r="A27" s="10">
        <v>19</v>
      </c>
      <c r="B27" s="61" t="s">
        <v>478</v>
      </c>
      <c r="C27" s="52">
        <v>113322</v>
      </c>
      <c r="D27" s="61" t="s">
        <v>180</v>
      </c>
      <c r="E27" s="146" t="s">
        <v>183</v>
      </c>
      <c r="F27" s="11" t="s">
        <v>170</v>
      </c>
      <c r="G27" s="11" t="s">
        <v>177</v>
      </c>
      <c r="H27" s="11" t="s">
        <v>174</v>
      </c>
      <c r="I27" s="10" t="s">
        <v>459</v>
      </c>
      <c r="J27" s="10">
        <v>0.75</v>
      </c>
      <c r="K27" s="10">
        <v>1</v>
      </c>
      <c r="L27" s="53" t="s">
        <v>230</v>
      </c>
      <c r="M27" s="10" t="s">
        <v>14</v>
      </c>
      <c r="N27" s="130">
        <v>45855</v>
      </c>
      <c r="O27" s="11"/>
      <c r="P27" s="57">
        <v>45659</v>
      </c>
    </row>
    <row r="28" spans="1:17" x14ac:dyDescent="0.35">
      <c r="A28" s="10">
        <v>32</v>
      </c>
      <c r="B28" s="11" t="s">
        <v>498</v>
      </c>
      <c r="C28" s="52">
        <v>108325</v>
      </c>
      <c r="D28" s="11" t="s">
        <v>180</v>
      </c>
      <c r="E28" s="6" t="s">
        <v>183</v>
      </c>
      <c r="F28" s="11" t="s">
        <v>172</v>
      </c>
      <c r="G28" s="11" t="s">
        <v>176</v>
      </c>
      <c r="H28" s="11" t="s">
        <v>171</v>
      </c>
      <c r="I28" s="10" t="s">
        <v>459</v>
      </c>
      <c r="J28" s="10">
        <v>1.5</v>
      </c>
      <c r="K28" s="10">
        <v>0</v>
      </c>
      <c r="L28" s="53" t="s">
        <v>230</v>
      </c>
      <c r="M28" s="10" t="s">
        <v>14</v>
      </c>
      <c r="N28" s="57">
        <v>45807</v>
      </c>
      <c r="O28" s="57">
        <v>45072</v>
      </c>
      <c r="P28" s="57">
        <v>45807</v>
      </c>
    </row>
    <row r="29" spans="1:17" x14ac:dyDescent="0.35">
      <c r="A29" s="10">
        <v>45</v>
      </c>
      <c r="B29" s="11" t="s">
        <v>512</v>
      </c>
      <c r="C29" s="52">
        <v>107575.76</v>
      </c>
      <c r="D29" s="11" t="s">
        <v>180</v>
      </c>
      <c r="E29" s="6" t="s">
        <v>183</v>
      </c>
      <c r="F29" s="11" t="s">
        <v>170</v>
      </c>
      <c r="G29" s="11" t="s">
        <v>177</v>
      </c>
      <c r="H29" s="11" t="s">
        <v>174</v>
      </c>
      <c r="I29" s="10" t="s">
        <v>459</v>
      </c>
      <c r="J29" s="10">
        <v>0.25</v>
      </c>
      <c r="K29" s="10">
        <v>1.5</v>
      </c>
      <c r="L29" s="53" t="s">
        <v>230</v>
      </c>
      <c r="M29" s="10" t="s">
        <v>14</v>
      </c>
      <c r="N29" s="130">
        <v>45855</v>
      </c>
      <c r="O29" s="57">
        <v>45890</v>
      </c>
      <c r="P29" s="57">
        <v>45890</v>
      </c>
    </row>
    <row r="30" spans="1:17" x14ac:dyDescent="0.35">
      <c r="A30" s="10">
        <v>16</v>
      </c>
      <c r="B30" s="6" t="s">
        <v>475</v>
      </c>
      <c r="C30" s="52">
        <v>105600</v>
      </c>
      <c r="D30" s="11" t="s">
        <v>180</v>
      </c>
      <c r="E30" s="6" t="s">
        <v>183</v>
      </c>
      <c r="F30" s="11" t="s">
        <v>170</v>
      </c>
      <c r="G30" s="11" t="s">
        <v>177</v>
      </c>
      <c r="H30" s="11" t="s">
        <v>174</v>
      </c>
      <c r="I30" s="10" t="s">
        <v>459</v>
      </c>
      <c r="J30" s="10">
        <v>1</v>
      </c>
      <c r="K30" s="10">
        <v>0</v>
      </c>
      <c r="L30" s="53" t="s">
        <v>230</v>
      </c>
      <c r="M30" s="10" t="s">
        <v>14</v>
      </c>
      <c r="N30" s="130">
        <v>45855</v>
      </c>
      <c r="O30" s="11"/>
      <c r="P30" s="57">
        <v>45657</v>
      </c>
    </row>
    <row r="31" spans="1:17" ht="12.5" customHeight="1" x14ac:dyDescent="0.35">
      <c r="A31" s="10">
        <v>18</v>
      </c>
      <c r="B31" s="6" t="s">
        <v>477</v>
      </c>
      <c r="C31" s="52">
        <v>105600</v>
      </c>
      <c r="D31" s="11" t="s">
        <v>180</v>
      </c>
      <c r="E31" s="6" t="s">
        <v>183</v>
      </c>
      <c r="F31" s="11" t="s">
        <v>170</v>
      </c>
      <c r="G31" s="11" t="s">
        <v>122</v>
      </c>
      <c r="H31" s="11" t="s">
        <v>174</v>
      </c>
      <c r="I31" s="10" t="s">
        <v>459</v>
      </c>
      <c r="J31" s="10">
        <v>0</v>
      </c>
      <c r="K31" s="10">
        <v>1.25</v>
      </c>
      <c r="L31" s="53" t="s">
        <v>230</v>
      </c>
      <c r="M31" s="10" t="s">
        <v>14</v>
      </c>
      <c r="N31" s="130">
        <v>45855</v>
      </c>
      <c r="O31" s="11"/>
      <c r="P31" s="57">
        <v>45794</v>
      </c>
    </row>
    <row r="32" spans="1:17" x14ac:dyDescent="0.35">
      <c r="A32" s="10">
        <v>48</v>
      </c>
      <c r="B32" s="11" t="s">
        <v>513</v>
      </c>
      <c r="C32" s="52">
        <v>105600</v>
      </c>
      <c r="D32" s="11" t="s">
        <v>180</v>
      </c>
      <c r="E32" s="6" t="s">
        <v>193</v>
      </c>
      <c r="F32" s="11" t="s">
        <v>170</v>
      </c>
      <c r="G32" s="11" t="s">
        <v>122</v>
      </c>
      <c r="H32" s="11" t="s">
        <v>174</v>
      </c>
      <c r="I32" s="10" t="s">
        <v>459</v>
      </c>
      <c r="J32" s="9" t="s">
        <v>120</v>
      </c>
      <c r="L32" s="53" t="s">
        <v>230</v>
      </c>
      <c r="M32" s="10" t="s">
        <v>14</v>
      </c>
      <c r="N32" s="64">
        <v>45881</v>
      </c>
      <c r="O32" s="57">
        <v>45800</v>
      </c>
      <c r="P32" s="57">
        <v>45881</v>
      </c>
    </row>
    <row r="33" spans="1:17" x14ac:dyDescent="0.35">
      <c r="A33" s="10">
        <v>2</v>
      </c>
      <c r="B33" s="11" t="s">
        <v>460</v>
      </c>
      <c r="C33" s="52">
        <v>100000</v>
      </c>
      <c r="D33" s="11" t="s">
        <v>184</v>
      </c>
      <c r="E33" s="6" t="s">
        <v>458</v>
      </c>
      <c r="F33" s="11" t="s">
        <v>172</v>
      </c>
      <c r="G33" s="11" t="s">
        <v>176</v>
      </c>
      <c r="H33" s="11" t="s">
        <v>173</v>
      </c>
      <c r="I33" s="10" t="s">
        <v>459</v>
      </c>
      <c r="J33" s="10">
        <v>1.5</v>
      </c>
      <c r="K33" s="10">
        <v>1.25</v>
      </c>
      <c r="L33" s="53" t="s">
        <v>230</v>
      </c>
      <c r="M33" s="10" t="s">
        <v>14</v>
      </c>
      <c r="N33" s="57">
        <v>45715</v>
      </c>
      <c r="O33" s="59"/>
      <c r="P33" s="57">
        <v>45676</v>
      </c>
    </row>
    <row r="34" spans="1:17" x14ac:dyDescent="0.35">
      <c r="A34" s="10">
        <v>15</v>
      </c>
      <c r="B34" s="28" t="s">
        <v>474</v>
      </c>
      <c r="C34" s="52">
        <v>100000</v>
      </c>
      <c r="D34" s="28" t="s">
        <v>184</v>
      </c>
      <c r="E34" s="11" t="s">
        <v>458</v>
      </c>
      <c r="F34" s="11" t="s">
        <v>170</v>
      </c>
      <c r="G34" s="11" t="s">
        <v>177</v>
      </c>
      <c r="H34" s="11" t="s">
        <v>173</v>
      </c>
      <c r="I34" s="11" t="s">
        <v>459</v>
      </c>
      <c r="J34" s="10">
        <v>1</v>
      </c>
      <c r="K34" s="10">
        <v>1</v>
      </c>
      <c r="L34" s="53" t="s">
        <v>230</v>
      </c>
      <c r="M34" s="10" t="s">
        <v>14</v>
      </c>
      <c r="N34" s="130">
        <v>45855</v>
      </c>
      <c r="O34" s="11"/>
      <c r="P34" s="57">
        <v>45773</v>
      </c>
    </row>
    <row r="35" spans="1:17" x14ac:dyDescent="0.35">
      <c r="A35" s="10">
        <v>58</v>
      </c>
      <c r="B35" s="11" t="s">
        <v>63</v>
      </c>
      <c r="C35" s="52">
        <v>100000</v>
      </c>
      <c r="D35" s="144" t="s">
        <v>296</v>
      </c>
      <c r="E35" s="144" t="s">
        <v>194</v>
      </c>
      <c r="F35" s="11" t="s">
        <v>172</v>
      </c>
      <c r="G35" s="11" t="s">
        <v>176</v>
      </c>
      <c r="H35" s="11" t="s">
        <v>173</v>
      </c>
      <c r="I35" s="10" t="s">
        <v>459</v>
      </c>
      <c r="J35" s="10" t="s">
        <v>120</v>
      </c>
      <c r="K35" s="10"/>
      <c r="L35" s="53" t="s">
        <v>230</v>
      </c>
      <c r="M35" s="9" t="s">
        <v>14</v>
      </c>
      <c r="N35" s="64">
        <v>45961</v>
      </c>
      <c r="O35" s="133">
        <v>45685</v>
      </c>
      <c r="P35" s="133">
        <v>46049</v>
      </c>
    </row>
    <row r="36" spans="1:17" x14ac:dyDescent="0.35">
      <c r="A36" s="10">
        <v>52</v>
      </c>
      <c r="B36" s="11" t="s">
        <v>55</v>
      </c>
      <c r="C36" s="52">
        <v>99641</v>
      </c>
      <c r="D36" s="144" t="s">
        <v>184</v>
      </c>
      <c r="E36" s="144" t="s">
        <v>194</v>
      </c>
      <c r="F36" s="11" t="s">
        <v>172</v>
      </c>
      <c r="G36" s="11" t="s">
        <v>176</v>
      </c>
      <c r="H36" s="11" t="s">
        <v>171</v>
      </c>
      <c r="I36" s="10" t="s">
        <v>459</v>
      </c>
      <c r="J36" s="10" t="s">
        <v>120</v>
      </c>
      <c r="K36" s="10"/>
      <c r="L36" s="53" t="s">
        <v>230</v>
      </c>
      <c r="M36" s="10" t="s">
        <v>14</v>
      </c>
      <c r="N36" s="64">
        <v>46003</v>
      </c>
      <c r="O36" s="133">
        <v>45646</v>
      </c>
      <c r="P36" s="133">
        <v>46375</v>
      </c>
    </row>
    <row r="37" spans="1:17" x14ac:dyDescent="0.35">
      <c r="A37" s="10">
        <v>3</v>
      </c>
      <c r="B37" s="11" t="s">
        <v>447</v>
      </c>
      <c r="C37" s="52">
        <v>99000</v>
      </c>
      <c r="D37" s="52" t="s">
        <v>180</v>
      </c>
      <c r="E37" s="144" t="s">
        <v>193</v>
      </c>
      <c r="F37" s="11" t="s">
        <v>172</v>
      </c>
      <c r="G37" s="11" t="s">
        <v>176</v>
      </c>
      <c r="H37" s="11" t="s">
        <v>171</v>
      </c>
      <c r="I37" s="10" t="s">
        <v>459</v>
      </c>
      <c r="J37" s="10"/>
      <c r="K37" s="10">
        <v>1</v>
      </c>
      <c r="L37" s="53" t="s">
        <v>230</v>
      </c>
      <c r="M37" s="10" t="s">
        <v>14</v>
      </c>
      <c r="N37" s="133">
        <v>46042</v>
      </c>
      <c r="O37" s="133">
        <v>45873</v>
      </c>
      <c r="P37" s="133">
        <v>46639</v>
      </c>
    </row>
    <row r="38" spans="1:17" x14ac:dyDescent="0.35">
      <c r="A38" s="10">
        <v>37</v>
      </c>
      <c r="B38" s="6" t="s">
        <v>505</v>
      </c>
      <c r="C38" s="52">
        <v>91300</v>
      </c>
      <c r="D38" s="11" t="s">
        <v>180</v>
      </c>
      <c r="E38" s="6" t="s">
        <v>183</v>
      </c>
      <c r="F38" s="11" t="s">
        <v>170</v>
      </c>
      <c r="G38" s="11" t="s">
        <v>177</v>
      </c>
      <c r="H38" s="11" t="s">
        <v>174</v>
      </c>
      <c r="I38" s="10" t="s">
        <v>459</v>
      </c>
      <c r="J38" s="10">
        <v>0</v>
      </c>
      <c r="K38" s="10">
        <v>1</v>
      </c>
      <c r="L38" s="53" t="s">
        <v>230</v>
      </c>
      <c r="M38" s="10" t="s">
        <v>14</v>
      </c>
      <c r="N38" s="57">
        <v>45735</v>
      </c>
      <c r="O38" s="57">
        <v>45369</v>
      </c>
      <c r="P38" s="57">
        <v>46100</v>
      </c>
    </row>
    <row r="39" spans="1:17" x14ac:dyDescent="0.35">
      <c r="A39" s="10">
        <v>55</v>
      </c>
      <c r="B39" s="11" t="s">
        <v>518</v>
      </c>
      <c r="C39" s="52">
        <v>81000</v>
      </c>
      <c r="D39" s="144" t="s">
        <v>180</v>
      </c>
      <c r="E39" s="144" t="s">
        <v>193</v>
      </c>
      <c r="F39" s="41" t="s">
        <v>170</v>
      </c>
      <c r="G39" s="11" t="s">
        <v>122</v>
      </c>
      <c r="H39" s="11" t="s">
        <v>171</v>
      </c>
      <c r="I39" s="10" t="s">
        <v>459</v>
      </c>
      <c r="J39" s="10" t="s">
        <v>120</v>
      </c>
      <c r="K39" s="10"/>
      <c r="L39" s="53" t="s">
        <v>230</v>
      </c>
      <c r="M39" s="10" t="s">
        <v>14</v>
      </c>
      <c r="N39" s="64">
        <v>45955</v>
      </c>
      <c r="O39" s="133">
        <v>45630</v>
      </c>
      <c r="P39" s="133">
        <v>45994</v>
      </c>
    </row>
    <row r="40" spans="1:17" x14ac:dyDescent="0.35">
      <c r="A40" s="10">
        <v>17</v>
      </c>
      <c r="B40" s="7" t="s">
        <v>476</v>
      </c>
      <c r="C40" s="52">
        <v>78100</v>
      </c>
      <c r="D40" s="11" t="s">
        <v>180</v>
      </c>
      <c r="E40" s="6" t="s">
        <v>183</v>
      </c>
      <c r="F40" s="11" t="s">
        <v>172</v>
      </c>
      <c r="G40" s="11" t="s">
        <v>177</v>
      </c>
      <c r="H40" s="11" t="s">
        <v>174</v>
      </c>
      <c r="I40" s="10" t="s">
        <v>459</v>
      </c>
      <c r="J40" s="10">
        <v>0</v>
      </c>
      <c r="K40" s="10">
        <v>2</v>
      </c>
      <c r="L40" s="53" t="s">
        <v>230</v>
      </c>
      <c r="M40" s="10" t="s">
        <v>14</v>
      </c>
      <c r="N40" s="130">
        <v>45855</v>
      </c>
      <c r="O40" s="11"/>
      <c r="P40" s="57">
        <v>45612</v>
      </c>
    </row>
    <row r="41" spans="1:17" x14ac:dyDescent="0.35">
      <c r="A41" s="10">
        <v>34</v>
      </c>
      <c r="B41" s="6" t="s">
        <v>502</v>
      </c>
      <c r="C41" s="52">
        <v>78100</v>
      </c>
      <c r="D41" s="11" t="s">
        <v>180</v>
      </c>
      <c r="E41" s="6" t="s">
        <v>183</v>
      </c>
      <c r="F41" s="11" t="s">
        <v>170</v>
      </c>
      <c r="G41" s="11" t="s">
        <v>177</v>
      </c>
      <c r="H41" s="11" t="s">
        <v>174</v>
      </c>
      <c r="I41" s="10" t="s">
        <v>459</v>
      </c>
      <c r="J41" s="53" t="s">
        <v>230</v>
      </c>
      <c r="K41" s="10" t="s">
        <v>14</v>
      </c>
      <c r="L41" s="53" t="s">
        <v>230</v>
      </c>
      <c r="M41" s="10" t="s">
        <v>14</v>
      </c>
      <c r="N41" s="57">
        <v>45776</v>
      </c>
      <c r="O41" s="57">
        <v>45412</v>
      </c>
      <c r="P41" s="57">
        <v>46141</v>
      </c>
    </row>
    <row r="42" spans="1:17" x14ac:dyDescent="0.35">
      <c r="A42" s="10">
        <v>54</v>
      </c>
      <c r="B42" s="6" t="s">
        <v>517</v>
      </c>
      <c r="C42" s="52">
        <v>78100</v>
      </c>
      <c r="D42" s="144" t="s">
        <v>180</v>
      </c>
      <c r="E42" s="144" t="s">
        <v>193</v>
      </c>
      <c r="F42" s="11" t="s">
        <v>170</v>
      </c>
      <c r="G42" s="11" t="s">
        <v>177</v>
      </c>
      <c r="H42" s="11" t="s">
        <v>174</v>
      </c>
      <c r="I42" s="10" t="s">
        <v>459</v>
      </c>
      <c r="J42" s="10" t="s">
        <v>120</v>
      </c>
      <c r="K42" s="10"/>
      <c r="L42" s="53" t="s">
        <v>230</v>
      </c>
      <c r="M42" s="10" t="s">
        <v>14</v>
      </c>
      <c r="N42" s="64">
        <v>45927</v>
      </c>
      <c r="O42" s="133">
        <v>45497</v>
      </c>
      <c r="P42" s="133">
        <v>46226</v>
      </c>
    </row>
    <row r="43" spans="1:17" x14ac:dyDescent="0.35">
      <c r="A43" s="10">
        <v>21</v>
      </c>
      <c r="B43" s="11" t="s">
        <v>480</v>
      </c>
      <c r="C43" s="52">
        <v>76950</v>
      </c>
      <c r="D43" s="11" t="s">
        <v>180</v>
      </c>
      <c r="E43" s="6" t="s">
        <v>183</v>
      </c>
      <c r="F43" s="11" t="s">
        <v>170</v>
      </c>
      <c r="G43" s="11" t="s">
        <v>176</v>
      </c>
      <c r="H43" s="11" t="s">
        <v>171</v>
      </c>
      <c r="I43" s="10" t="s">
        <v>459</v>
      </c>
      <c r="J43" s="10"/>
      <c r="K43" s="10"/>
      <c r="L43" s="53" t="s">
        <v>230</v>
      </c>
      <c r="M43" s="10" t="s">
        <v>14</v>
      </c>
      <c r="N43" s="64">
        <v>45708</v>
      </c>
      <c r="O43" s="11"/>
      <c r="P43" s="57">
        <v>46232</v>
      </c>
    </row>
    <row r="44" spans="1:17" x14ac:dyDescent="0.35">
      <c r="A44" s="10">
        <v>3</v>
      </c>
      <c r="B44" s="6" t="s">
        <v>461</v>
      </c>
      <c r="C44" s="52">
        <v>76800</v>
      </c>
      <c r="D44" s="6" t="s">
        <v>184</v>
      </c>
      <c r="E44" s="6" t="s">
        <v>187</v>
      </c>
      <c r="F44" s="11" t="s">
        <v>170</v>
      </c>
      <c r="G44" s="11" t="s">
        <v>177</v>
      </c>
      <c r="H44" s="11" t="s">
        <v>174</v>
      </c>
      <c r="I44" s="10" t="s">
        <v>459</v>
      </c>
      <c r="J44" s="10">
        <v>3</v>
      </c>
      <c r="K44" s="10">
        <v>1</v>
      </c>
      <c r="L44" s="53" t="s">
        <v>230</v>
      </c>
      <c r="M44" s="10" t="s">
        <v>14</v>
      </c>
      <c r="N44" s="130">
        <v>45855</v>
      </c>
      <c r="O44" s="11"/>
      <c r="P44" s="57">
        <v>46129</v>
      </c>
    </row>
    <row r="45" spans="1:17" x14ac:dyDescent="0.35">
      <c r="A45" s="10"/>
      <c r="B45" s="11" t="s">
        <v>295</v>
      </c>
      <c r="C45" s="52">
        <v>76000</v>
      </c>
      <c r="D45" s="144" t="s">
        <v>296</v>
      </c>
      <c r="E45" s="144" t="s">
        <v>193</v>
      </c>
      <c r="F45" s="11" t="s">
        <v>170</v>
      </c>
      <c r="G45" s="11" t="s">
        <v>122</v>
      </c>
      <c r="H45" s="11" t="s">
        <v>171</v>
      </c>
      <c r="I45" s="10" t="s">
        <v>459</v>
      </c>
      <c r="J45" s="10">
        <v>0.25</v>
      </c>
      <c r="K45" s="10">
        <v>1.5</v>
      </c>
      <c r="L45" s="53" t="s">
        <v>230</v>
      </c>
      <c r="M45" s="10" t="s">
        <v>14</v>
      </c>
      <c r="N45" s="151">
        <v>46022</v>
      </c>
      <c r="O45" s="133">
        <v>45839</v>
      </c>
      <c r="P45" s="133">
        <v>46022</v>
      </c>
      <c r="Q45" s="157"/>
    </row>
    <row r="46" spans="1:17" x14ac:dyDescent="0.35">
      <c r="A46" s="10">
        <v>1</v>
      </c>
      <c r="B46" s="11" t="s">
        <v>457</v>
      </c>
      <c r="C46" s="52">
        <v>75000</v>
      </c>
      <c r="D46" s="11" t="s">
        <v>184</v>
      </c>
      <c r="E46" s="6" t="s">
        <v>458</v>
      </c>
      <c r="F46" s="11" t="s">
        <v>170</v>
      </c>
      <c r="G46" s="11" t="s">
        <v>177</v>
      </c>
      <c r="H46" s="11" t="s">
        <v>173</v>
      </c>
      <c r="I46" s="10" t="s">
        <v>459</v>
      </c>
      <c r="J46" s="10">
        <v>0.5</v>
      </c>
      <c r="K46" s="10"/>
      <c r="L46" s="53" t="s">
        <v>230</v>
      </c>
      <c r="M46" s="10" t="s">
        <v>14</v>
      </c>
      <c r="N46" s="130">
        <v>45855</v>
      </c>
      <c r="O46" s="58"/>
      <c r="P46" s="57">
        <v>45905</v>
      </c>
    </row>
    <row r="47" spans="1:17" x14ac:dyDescent="0.35">
      <c r="A47" s="10">
        <v>45</v>
      </c>
      <c r="B47" s="11" t="s">
        <v>294</v>
      </c>
      <c r="C47" s="52">
        <v>71470</v>
      </c>
      <c r="D47" s="144" t="s">
        <v>180</v>
      </c>
      <c r="E47" s="144" t="s">
        <v>194</v>
      </c>
      <c r="F47" s="11" t="s">
        <v>172</v>
      </c>
      <c r="G47" s="11" t="s">
        <v>176</v>
      </c>
      <c r="H47" s="11" t="s">
        <v>174</v>
      </c>
      <c r="I47" s="10" t="s">
        <v>459</v>
      </c>
      <c r="J47" s="10" t="s">
        <v>120</v>
      </c>
      <c r="K47" s="10"/>
      <c r="L47" s="53" t="s">
        <v>230</v>
      </c>
      <c r="M47" s="10" t="s">
        <v>14</v>
      </c>
      <c r="N47" s="155">
        <v>45992</v>
      </c>
      <c r="O47" s="133">
        <v>45883</v>
      </c>
      <c r="P47" s="133">
        <v>46612</v>
      </c>
    </row>
    <row r="48" spans="1:17" x14ac:dyDescent="0.35">
      <c r="A48" s="10">
        <v>11</v>
      </c>
      <c r="B48" s="11" t="s">
        <v>470</v>
      </c>
      <c r="C48" s="52">
        <v>65780</v>
      </c>
      <c r="D48" s="11" t="s">
        <v>184</v>
      </c>
      <c r="E48" s="6" t="s">
        <v>458</v>
      </c>
      <c r="F48" s="11" t="s">
        <v>172</v>
      </c>
      <c r="G48" s="11" t="s">
        <v>176</v>
      </c>
      <c r="H48" s="11" t="s">
        <v>171</v>
      </c>
      <c r="I48" s="10" t="s">
        <v>459</v>
      </c>
      <c r="J48" s="10">
        <v>0</v>
      </c>
      <c r="K48" s="10">
        <v>2</v>
      </c>
      <c r="L48" s="53" t="s">
        <v>230</v>
      </c>
      <c r="M48" s="10" t="s">
        <v>14</v>
      </c>
      <c r="N48" s="57">
        <v>45688</v>
      </c>
      <c r="O48" s="11"/>
      <c r="P48" s="57">
        <v>45680</v>
      </c>
    </row>
    <row r="49" spans="1:17" x14ac:dyDescent="0.35">
      <c r="A49" s="10">
        <v>40</v>
      </c>
      <c r="B49" s="11" t="s">
        <v>507</v>
      </c>
      <c r="C49" s="52">
        <v>65780</v>
      </c>
      <c r="D49" s="11" t="s">
        <v>184</v>
      </c>
      <c r="E49" s="6" t="s">
        <v>458</v>
      </c>
      <c r="F49" s="11" t="s">
        <v>172</v>
      </c>
      <c r="G49" s="11" t="s">
        <v>176</v>
      </c>
      <c r="H49" s="11" t="s">
        <v>171</v>
      </c>
      <c r="I49" s="101" t="s">
        <v>459</v>
      </c>
      <c r="J49" s="53" t="s">
        <v>230</v>
      </c>
      <c r="K49" s="10" t="s">
        <v>14</v>
      </c>
      <c r="L49" s="53" t="s">
        <v>230</v>
      </c>
      <c r="M49" s="10" t="s">
        <v>14</v>
      </c>
      <c r="N49" s="64">
        <v>45869</v>
      </c>
      <c r="O49" s="57">
        <v>45680</v>
      </c>
      <c r="P49" s="57">
        <v>46103</v>
      </c>
    </row>
    <row r="50" spans="1:17" x14ac:dyDescent="0.35">
      <c r="A50" s="10">
        <v>57</v>
      </c>
      <c r="B50" s="11" t="s">
        <v>519</v>
      </c>
      <c r="C50" s="52">
        <v>63660</v>
      </c>
      <c r="D50" s="144" t="s">
        <v>180</v>
      </c>
      <c r="E50" s="144" t="s">
        <v>193</v>
      </c>
      <c r="F50" s="11" t="s">
        <v>170</v>
      </c>
      <c r="G50" s="11" t="s">
        <v>122</v>
      </c>
      <c r="H50" s="11" t="s">
        <v>171</v>
      </c>
      <c r="I50" s="101" t="s">
        <v>459</v>
      </c>
      <c r="J50" s="10" t="s">
        <v>120</v>
      </c>
      <c r="K50" s="11"/>
      <c r="L50" s="53" t="s">
        <v>230</v>
      </c>
      <c r="M50" s="10" t="s">
        <v>14</v>
      </c>
      <c r="N50" s="64">
        <v>45906</v>
      </c>
      <c r="O50" s="133">
        <v>45797</v>
      </c>
      <c r="P50" s="133">
        <v>46022</v>
      </c>
    </row>
    <row r="51" spans="1:17" x14ac:dyDescent="0.35">
      <c r="A51" s="10">
        <v>35</v>
      </c>
      <c r="B51" s="6" t="s">
        <v>503</v>
      </c>
      <c r="C51" s="52">
        <v>52800</v>
      </c>
      <c r="D51" s="11" t="s">
        <v>180</v>
      </c>
      <c r="E51" s="6" t="s">
        <v>183</v>
      </c>
      <c r="F51" s="11" t="s">
        <v>170</v>
      </c>
      <c r="G51" s="11" t="s">
        <v>177</v>
      </c>
      <c r="H51" s="11" t="s">
        <v>174</v>
      </c>
      <c r="I51" s="101" t="s">
        <v>459</v>
      </c>
      <c r="J51" s="10"/>
      <c r="K51" s="10"/>
      <c r="L51" s="53" t="s">
        <v>230</v>
      </c>
      <c r="M51" s="10" t="s">
        <v>14</v>
      </c>
      <c r="N51" s="57">
        <v>45838</v>
      </c>
      <c r="O51" s="57">
        <v>45632</v>
      </c>
      <c r="P51" s="57">
        <v>45838</v>
      </c>
    </row>
    <row r="52" spans="1:17" x14ac:dyDescent="0.35">
      <c r="A52" s="10">
        <v>59</v>
      </c>
      <c r="B52" s="11" t="s">
        <v>99</v>
      </c>
      <c r="C52" s="52">
        <v>51000</v>
      </c>
      <c r="D52" s="144" t="s">
        <v>180</v>
      </c>
      <c r="E52" s="144" t="s">
        <v>194</v>
      </c>
      <c r="F52" s="11" t="s">
        <v>172</v>
      </c>
      <c r="G52" s="11" t="s">
        <v>176</v>
      </c>
      <c r="H52" s="11" t="s">
        <v>174</v>
      </c>
      <c r="I52" s="101" t="s">
        <v>459</v>
      </c>
      <c r="J52" s="10" t="s">
        <v>459</v>
      </c>
      <c r="K52" s="52">
        <v>51000</v>
      </c>
      <c r="L52" s="53" t="s">
        <v>230</v>
      </c>
      <c r="M52" s="10" t="s">
        <v>14</v>
      </c>
      <c r="N52" s="133"/>
      <c r="O52" s="133">
        <v>45852</v>
      </c>
      <c r="P52" s="133">
        <v>46216</v>
      </c>
      <c r="Q52" s="9"/>
    </row>
    <row r="53" spans="1:17" x14ac:dyDescent="0.35">
      <c r="A53" s="10">
        <v>26</v>
      </c>
      <c r="B53" s="102" t="s">
        <v>490</v>
      </c>
      <c r="C53" s="103">
        <v>50000</v>
      </c>
      <c r="D53" s="145" t="s">
        <v>184</v>
      </c>
      <c r="E53" s="102" t="s">
        <v>458</v>
      </c>
      <c r="F53" s="11" t="s">
        <v>170</v>
      </c>
      <c r="G53" s="102" t="s">
        <v>176</v>
      </c>
      <c r="H53" s="102" t="s">
        <v>173</v>
      </c>
      <c r="I53" s="101" t="s">
        <v>459</v>
      </c>
      <c r="J53" s="148" t="s">
        <v>230</v>
      </c>
      <c r="K53" s="9" t="s">
        <v>14</v>
      </c>
      <c r="L53" s="53" t="s">
        <v>230</v>
      </c>
      <c r="M53" s="10" t="s">
        <v>14</v>
      </c>
      <c r="N53" s="64">
        <v>45410</v>
      </c>
      <c r="O53" s="102"/>
      <c r="P53" s="149">
        <v>46324</v>
      </c>
    </row>
    <row r="54" spans="1:17" x14ac:dyDescent="0.35">
      <c r="A54" s="10">
        <v>29</v>
      </c>
      <c r="B54" s="102" t="s">
        <v>493</v>
      </c>
      <c r="C54" s="103">
        <v>50000</v>
      </c>
      <c r="D54" s="102" t="s">
        <v>184</v>
      </c>
      <c r="E54" s="110" t="s">
        <v>458</v>
      </c>
      <c r="F54" s="102" t="s">
        <v>170</v>
      </c>
      <c r="G54" s="102" t="s">
        <v>122</v>
      </c>
      <c r="H54" s="102" t="s">
        <v>173</v>
      </c>
      <c r="I54" s="101" t="s">
        <v>459</v>
      </c>
      <c r="J54" s="101">
        <v>0</v>
      </c>
      <c r="K54" s="9">
        <v>3.25</v>
      </c>
      <c r="L54" s="53" t="s">
        <v>230</v>
      </c>
      <c r="M54" s="10" t="s">
        <v>14</v>
      </c>
      <c r="N54" s="130">
        <v>45855</v>
      </c>
      <c r="O54" s="149">
        <v>45189</v>
      </c>
      <c r="P54" s="149">
        <v>45925</v>
      </c>
    </row>
    <row r="55" spans="1:17" x14ac:dyDescent="0.35">
      <c r="A55" s="10">
        <v>7</v>
      </c>
      <c r="B55" s="110" t="s">
        <v>465</v>
      </c>
      <c r="C55" s="103">
        <v>48521</v>
      </c>
      <c r="D55" s="102" t="s">
        <v>184</v>
      </c>
      <c r="E55" s="110" t="s">
        <v>458</v>
      </c>
      <c r="F55" s="102" t="s">
        <v>170</v>
      </c>
      <c r="G55" s="102" t="s">
        <v>176</v>
      </c>
      <c r="H55" s="102" t="s">
        <v>174</v>
      </c>
      <c r="I55" s="101" t="s">
        <v>459</v>
      </c>
      <c r="J55" s="101">
        <v>0.25</v>
      </c>
      <c r="K55" s="9">
        <v>0</v>
      </c>
      <c r="L55" s="53" t="s">
        <v>230</v>
      </c>
      <c r="M55" s="10" t="s">
        <v>14</v>
      </c>
      <c r="N55" s="130">
        <v>45855</v>
      </c>
      <c r="O55" s="102"/>
      <c r="P55" s="149">
        <v>45834</v>
      </c>
    </row>
    <row r="56" spans="1:17" x14ac:dyDescent="0.35">
      <c r="A56" s="10">
        <v>25</v>
      </c>
      <c r="B56" s="102" t="s">
        <v>489</v>
      </c>
      <c r="C56" s="103">
        <v>46040</v>
      </c>
      <c r="D56" s="145" t="s">
        <v>180</v>
      </c>
      <c r="E56" s="102" t="s">
        <v>183</v>
      </c>
      <c r="F56" s="102" t="s">
        <v>172</v>
      </c>
      <c r="G56" s="102" t="s">
        <v>176</v>
      </c>
      <c r="H56" s="102" t="s">
        <v>174</v>
      </c>
      <c r="I56" s="101" t="s">
        <v>469</v>
      </c>
      <c r="J56" s="148"/>
      <c r="L56" s="53" t="s">
        <v>230</v>
      </c>
      <c r="M56" s="10" t="s">
        <v>14</v>
      </c>
      <c r="N56" s="57">
        <v>45947</v>
      </c>
      <c r="O56" s="149">
        <v>45699</v>
      </c>
      <c r="P56" s="149">
        <v>45796</v>
      </c>
    </row>
    <row r="57" spans="1:17" x14ac:dyDescent="0.35">
      <c r="A57" s="10">
        <v>39</v>
      </c>
      <c r="B57" s="102" t="s">
        <v>489</v>
      </c>
      <c r="C57" s="103">
        <v>46040</v>
      </c>
      <c r="D57" s="145" t="s">
        <v>180</v>
      </c>
      <c r="E57" s="102" t="s">
        <v>183</v>
      </c>
      <c r="F57" s="102" t="s">
        <v>172</v>
      </c>
      <c r="G57" s="102" t="s">
        <v>176</v>
      </c>
      <c r="H57" s="102" t="s">
        <v>174</v>
      </c>
      <c r="I57" s="101" t="s">
        <v>459</v>
      </c>
      <c r="J57" s="148"/>
      <c r="L57" s="53" t="s">
        <v>230</v>
      </c>
      <c r="M57" s="10" t="s">
        <v>14</v>
      </c>
      <c r="N57" s="57">
        <v>45869</v>
      </c>
      <c r="O57" s="149">
        <v>45699</v>
      </c>
      <c r="P57" s="149">
        <v>45869</v>
      </c>
    </row>
    <row r="58" spans="1:17" x14ac:dyDescent="0.35">
      <c r="A58" s="10">
        <v>51</v>
      </c>
      <c r="B58" s="102" t="s">
        <v>97</v>
      </c>
      <c r="C58" s="103">
        <v>46040</v>
      </c>
      <c r="D58" s="102" t="s">
        <v>183</v>
      </c>
      <c r="E58" s="110" t="s">
        <v>193</v>
      </c>
      <c r="F58" s="102" t="s">
        <v>172</v>
      </c>
      <c r="G58" s="102" t="s">
        <v>176</v>
      </c>
      <c r="H58" s="102" t="s">
        <v>171</v>
      </c>
      <c r="I58" s="101" t="s">
        <v>459</v>
      </c>
      <c r="J58" s="101"/>
      <c r="K58" s="9" t="s">
        <v>230</v>
      </c>
      <c r="L58" s="53" t="s">
        <v>230</v>
      </c>
      <c r="M58" s="10" t="s">
        <v>14</v>
      </c>
      <c r="N58" s="64">
        <v>45947</v>
      </c>
      <c r="O58" s="149">
        <v>45699</v>
      </c>
      <c r="P58" s="149">
        <v>46428</v>
      </c>
    </row>
    <row r="59" spans="1:17" x14ac:dyDescent="0.35">
      <c r="A59" s="10">
        <v>12</v>
      </c>
      <c r="B59" s="102" t="s">
        <v>471</v>
      </c>
      <c r="C59" s="103">
        <v>44795</v>
      </c>
      <c r="D59" s="102" t="s">
        <v>184</v>
      </c>
      <c r="E59" s="110" t="s">
        <v>458</v>
      </c>
      <c r="F59" s="102" t="s">
        <v>172</v>
      </c>
      <c r="G59" s="102" t="s">
        <v>177</v>
      </c>
      <c r="H59" s="102" t="s">
        <v>174</v>
      </c>
      <c r="I59" s="101" t="s">
        <v>459</v>
      </c>
      <c r="J59" s="101">
        <v>0.5</v>
      </c>
      <c r="K59" s="9">
        <v>0.25</v>
      </c>
      <c r="L59" s="53" t="s">
        <v>230</v>
      </c>
      <c r="M59" s="10" t="s">
        <v>14</v>
      </c>
      <c r="N59" s="57">
        <v>45747</v>
      </c>
      <c r="O59" s="102"/>
      <c r="P59" s="149">
        <v>45853</v>
      </c>
    </row>
    <row r="60" spans="1:17" x14ac:dyDescent="0.35">
      <c r="A60" s="10">
        <v>5</v>
      </c>
      <c r="B60" s="102" t="s">
        <v>463</v>
      </c>
      <c r="C60" s="103">
        <v>43725</v>
      </c>
      <c r="D60" s="102" t="s">
        <v>184</v>
      </c>
      <c r="E60" s="110" t="s">
        <v>458</v>
      </c>
      <c r="F60" s="12" t="s">
        <v>170</v>
      </c>
      <c r="G60" s="102" t="s">
        <v>177</v>
      </c>
      <c r="H60" s="102" t="s">
        <v>174</v>
      </c>
      <c r="I60" s="101" t="s">
        <v>459</v>
      </c>
      <c r="J60" s="101">
        <v>0</v>
      </c>
      <c r="K60" s="101">
        <v>0.25</v>
      </c>
      <c r="L60" s="53" t="s">
        <v>230</v>
      </c>
      <c r="M60" s="10" t="s">
        <v>14</v>
      </c>
      <c r="N60" s="57">
        <v>45678</v>
      </c>
      <c r="O60" s="102"/>
      <c r="P60" s="149">
        <v>45939</v>
      </c>
    </row>
    <row r="61" spans="1:17" x14ac:dyDescent="0.35">
      <c r="A61" s="10">
        <v>56</v>
      </c>
      <c r="B61" s="102" t="s">
        <v>35</v>
      </c>
      <c r="C61" s="103">
        <v>41184</v>
      </c>
      <c r="D61" s="104" t="s">
        <v>184</v>
      </c>
      <c r="E61" s="104" t="s">
        <v>193</v>
      </c>
      <c r="F61" s="102" t="s">
        <v>170</v>
      </c>
      <c r="G61" s="102" t="s">
        <v>177</v>
      </c>
      <c r="H61" s="102" t="s">
        <v>174</v>
      </c>
      <c r="I61" s="101" t="s">
        <v>459</v>
      </c>
      <c r="J61" s="9" t="s">
        <v>120</v>
      </c>
      <c r="L61" s="53" t="s">
        <v>230</v>
      </c>
      <c r="M61" s="101" t="s">
        <v>14</v>
      </c>
      <c r="N61" s="64">
        <v>45801</v>
      </c>
      <c r="O61" s="105">
        <v>45261</v>
      </c>
      <c r="P61" s="105">
        <v>45991</v>
      </c>
    </row>
    <row r="62" spans="1:17" x14ac:dyDescent="0.35">
      <c r="A62" s="10">
        <v>13</v>
      </c>
      <c r="B62" s="102" t="s">
        <v>472</v>
      </c>
      <c r="C62" s="103">
        <v>28600</v>
      </c>
      <c r="D62" s="102" t="s">
        <v>184</v>
      </c>
      <c r="E62" s="110" t="s">
        <v>458</v>
      </c>
      <c r="F62" s="102" t="s">
        <v>172</v>
      </c>
      <c r="G62" s="102" t="s">
        <v>176</v>
      </c>
      <c r="H62" s="102" t="s">
        <v>171</v>
      </c>
      <c r="I62" s="101" t="s">
        <v>459</v>
      </c>
      <c r="J62" s="101">
        <v>1</v>
      </c>
      <c r="K62" s="101">
        <v>0</v>
      </c>
      <c r="L62" s="53" t="s">
        <v>230</v>
      </c>
      <c r="M62" s="101" t="s">
        <v>14</v>
      </c>
      <c r="N62" s="149">
        <v>45688</v>
      </c>
      <c r="O62" s="102"/>
      <c r="P62" s="149">
        <v>46224</v>
      </c>
      <c r="Q62" s="102"/>
    </row>
    <row r="63" spans="1:17" x14ac:dyDescent="0.35">
      <c r="A63" s="101">
        <v>22</v>
      </c>
      <c r="B63" s="102" t="s">
        <v>481</v>
      </c>
      <c r="C63" s="103">
        <v>26263</v>
      </c>
      <c r="D63" s="145" t="s">
        <v>184</v>
      </c>
      <c r="E63" s="102" t="s">
        <v>458</v>
      </c>
      <c r="F63" s="102" t="s">
        <v>172</v>
      </c>
      <c r="G63" s="102" t="s">
        <v>176</v>
      </c>
      <c r="H63" s="102" t="s">
        <v>171</v>
      </c>
      <c r="I63" s="9" t="s">
        <v>459</v>
      </c>
      <c r="J63" s="101"/>
      <c r="K63" s="101"/>
      <c r="L63" s="53" t="s">
        <v>230</v>
      </c>
      <c r="M63" s="101" t="s">
        <v>14</v>
      </c>
      <c r="N63" s="116">
        <v>45793</v>
      </c>
      <c r="O63" s="102"/>
      <c r="P63" s="149">
        <v>45607</v>
      </c>
      <c r="Q63" s="102"/>
    </row>
    <row r="64" spans="1:17" x14ac:dyDescent="0.35">
      <c r="A64" s="101">
        <v>20</v>
      </c>
      <c r="B64" s="102" t="s">
        <v>479</v>
      </c>
      <c r="C64" s="103">
        <v>25000</v>
      </c>
      <c r="D64" s="102" t="s">
        <v>180</v>
      </c>
      <c r="E64" s="110" t="s">
        <v>183</v>
      </c>
      <c r="F64" s="102" t="s">
        <v>172</v>
      </c>
      <c r="G64" s="102" t="s">
        <v>176</v>
      </c>
      <c r="H64" s="102" t="s">
        <v>173</v>
      </c>
      <c r="I64" s="9" t="s">
        <v>459</v>
      </c>
      <c r="J64" s="101">
        <v>1.5</v>
      </c>
      <c r="K64" s="101">
        <v>1</v>
      </c>
      <c r="L64" s="53" t="s">
        <v>230</v>
      </c>
      <c r="M64" s="101" t="s">
        <v>14</v>
      </c>
      <c r="N64" s="153">
        <v>45855</v>
      </c>
      <c r="O64" s="102"/>
      <c r="P64" s="149">
        <v>46274</v>
      </c>
      <c r="Q64" s="102"/>
    </row>
    <row r="65" spans="1:23" x14ac:dyDescent="0.35">
      <c r="A65" s="101">
        <v>46</v>
      </c>
      <c r="B65" s="102" t="s">
        <v>77</v>
      </c>
      <c r="C65" s="103">
        <v>25000</v>
      </c>
      <c r="D65" s="102" t="s">
        <v>180</v>
      </c>
      <c r="E65" s="110" t="s">
        <v>193</v>
      </c>
      <c r="F65" s="102" t="s">
        <v>170</v>
      </c>
      <c r="G65" s="102" t="s">
        <v>177</v>
      </c>
      <c r="H65" s="102" t="s">
        <v>173</v>
      </c>
      <c r="I65" s="9" t="s">
        <v>459</v>
      </c>
      <c r="J65" s="101"/>
      <c r="K65" s="101"/>
      <c r="L65" s="53" t="s">
        <v>230</v>
      </c>
      <c r="M65" s="101" t="s">
        <v>14</v>
      </c>
      <c r="N65" s="156">
        <v>45911</v>
      </c>
      <c r="O65" s="149">
        <v>45712</v>
      </c>
      <c r="P65" s="149">
        <v>46077</v>
      </c>
    </row>
    <row r="66" spans="1:23" x14ac:dyDescent="0.35">
      <c r="A66" s="101">
        <v>4</v>
      </c>
      <c r="B66" s="110" t="s">
        <v>462</v>
      </c>
      <c r="C66" s="103">
        <v>19200</v>
      </c>
      <c r="D66" s="110" t="s">
        <v>184</v>
      </c>
      <c r="E66" s="110" t="s">
        <v>187</v>
      </c>
      <c r="F66" s="102" t="s">
        <v>170</v>
      </c>
      <c r="G66" s="102" t="s">
        <v>177</v>
      </c>
      <c r="H66" s="102" t="s">
        <v>174</v>
      </c>
      <c r="I66" s="9" t="s">
        <v>459</v>
      </c>
      <c r="J66" s="101">
        <v>0.5</v>
      </c>
      <c r="K66" s="101">
        <v>0</v>
      </c>
      <c r="L66" s="53" t="s">
        <v>230</v>
      </c>
      <c r="M66" s="101" t="s">
        <v>14</v>
      </c>
      <c r="N66" s="154">
        <v>45855</v>
      </c>
      <c r="O66" s="102"/>
      <c r="P66" s="149">
        <v>45988</v>
      </c>
      <c r="Q66" s="102"/>
      <c r="W66" s="105"/>
    </row>
    <row r="67" spans="1:23" x14ac:dyDescent="0.35">
      <c r="A67" s="101">
        <v>42</v>
      </c>
      <c r="B67" s="110" t="s">
        <v>509</v>
      </c>
      <c r="C67" s="103">
        <v>15000</v>
      </c>
      <c r="D67" s="102" t="s">
        <v>184</v>
      </c>
      <c r="E67" s="110" t="s">
        <v>458</v>
      </c>
      <c r="F67" s="102" t="s">
        <v>170</v>
      </c>
      <c r="G67" s="102" t="s">
        <v>122</v>
      </c>
      <c r="H67" s="102" t="s">
        <v>174</v>
      </c>
      <c r="I67" s="9" t="s">
        <v>459</v>
      </c>
      <c r="J67" s="101">
        <v>0.5</v>
      </c>
      <c r="K67" s="101">
        <v>0</v>
      </c>
      <c r="L67" s="53" t="s">
        <v>230</v>
      </c>
      <c r="M67" s="101" t="s">
        <v>14</v>
      </c>
      <c r="N67" s="149">
        <v>45851</v>
      </c>
      <c r="O67" s="149">
        <v>45119</v>
      </c>
      <c r="P67" s="149">
        <v>45851</v>
      </c>
    </row>
    <row r="68" spans="1:23" x14ac:dyDescent="0.35">
      <c r="A68" s="101">
        <v>14</v>
      </c>
      <c r="B68" s="102" t="s">
        <v>473</v>
      </c>
      <c r="C68" s="103">
        <v>14355</v>
      </c>
      <c r="D68" s="12" t="s">
        <v>184</v>
      </c>
      <c r="E68" s="110" t="s">
        <v>458</v>
      </c>
      <c r="F68" s="102" t="s">
        <v>172</v>
      </c>
      <c r="G68" s="102" t="s">
        <v>177</v>
      </c>
      <c r="H68" s="102" t="s">
        <v>171</v>
      </c>
      <c r="I68" s="101" t="s">
        <v>459</v>
      </c>
      <c r="J68" s="101">
        <v>0</v>
      </c>
      <c r="K68" s="101">
        <v>1</v>
      </c>
      <c r="L68" s="53" t="s">
        <v>230</v>
      </c>
      <c r="M68" s="101" t="s">
        <v>14</v>
      </c>
      <c r="N68" s="154">
        <v>45855</v>
      </c>
      <c r="O68" s="102"/>
      <c r="P68" s="149">
        <v>46227</v>
      </c>
    </row>
    <row r="69" spans="1:23" x14ac:dyDescent="0.35">
      <c r="A69" s="101">
        <v>44</v>
      </c>
      <c r="B69" s="102" t="s">
        <v>511</v>
      </c>
      <c r="C69" s="103">
        <v>12000</v>
      </c>
      <c r="D69" s="12" t="s">
        <v>180</v>
      </c>
      <c r="E69" s="110" t="s">
        <v>183</v>
      </c>
      <c r="F69" s="102" t="s">
        <v>170</v>
      </c>
      <c r="G69" s="102" t="s">
        <v>177</v>
      </c>
      <c r="H69" s="102" t="s">
        <v>174</v>
      </c>
      <c r="I69" s="101" t="s">
        <v>459</v>
      </c>
      <c r="J69" s="101"/>
      <c r="K69" s="101"/>
      <c r="L69" s="53" t="s">
        <v>230</v>
      </c>
      <c r="M69" s="101" t="s">
        <v>14</v>
      </c>
      <c r="N69" s="116">
        <v>45876</v>
      </c>
      <c r="O69" s="158">
        <v>45147</v>
      </c>
      <c r="P69" s="158">
        <v>45876</v>
      </c>
    </row>
    <row r="70" spans="1:23" ht="12.5" customHeight="1" x14ac:dyDescent="0.25">
      <c r="A70" s="101">
        <v>30</v>
      </c>
      <c r="B70" s="102" t="s">
        <v>494</v>
      </c>
      <c r="C70" s="103">
        <v>4264</v>
      </c>
      <c r="D70" s="145" t="s">
        <v>184</v>
      </c>
      <c r="E70" s="102" t="s">
        <v>495</v>
      </c>
      <c r="F70" s="102" t="s">
        <v>170</v>
      </c>
      <c r="G70" s="102" t="s">
        <v>176</v>
      </c>
      <c r="H70" s="102" t="s">
        <v>171</v>
      </c>
      <c r="I70" s="9" t="s">
        <v>459</v>
      </c>
      <c r="J70" s="147"/>
      <c r="K70" s="147"/>
      <c r="L70" s="53" t="s">
        <v>230</v>
      </c>
      <c r="M70" s="101" t="s">
        <v>14</v>
      </c>
      <c r="N70" s="116">
        <v>45675</v>
      </c>
      <c r="O70" s="149">
        <v>45332</v>
      </c>
      <c r="P70" s="149">
        <v>45687</v>
      </c>
    </row>
    <row r="71" spans="1:23" x14ac:dyDescent="0.35">
      <c r="A71" s="101">
        <v>19</v>
      </c>
      <c r="B71" s="102" t="s">
        <v>108</v>
      </c>
      <c r="C71" s="103">
        <v>4200</v>
      </c>
      <c r="D71" s="104" t="s">
        <v>181</v>
      </c>
      <c r="E71" s="104" t="s">
        <v>194</v>
      </c>
      <c r="F71" s="102" t="s">
        <v>170</v>
      </c>
      <c r="G71" s="102" t="s">
        <v>177</v>
      </c>
      <c r="H71" s="102" t="s">
        <v>174</v>
      </c>
      <c r="I71" s="101" t="s">
        <v>459</v>
      </c>
      <c r="J71" s="101" t="s">
        <v>120</v>
      </c>
      <c r="K71" s="103">
        <v>4200</v>
      </c>
      <c r="L71" s="53" t="s">
        <v>230</v>
      </c>
      <c r="M71" s="101" t="s">
        <v>14</v>
      </c>
      <c r="N71" s="152">
        <v>45931</v>
      </c>
      <c r="O71" s="105">
        <v>45891</v>
      </c>
      <c r="P71" s="105">
        <v>46620</v>
      </c>
      <c r="Q71" s="9"/>
    </row>
    <row r="72" spans="1:23" x14ac:dyDescent="0.35">
      <c r="A72" s="101">
        <v>50</v>
      </c>
      <c r="B72" s="102" t="s">
        <v>286</v>
      </c>
      <c r="C72" s="101"/>
      <c r="D72" s="102" t="s">
        <v>184</v>
      </c>
      <c r="E72" s="104" t="s">
        <v>193</v>
      </c>
      <c r="F72" s="102" t="s">
        <v>172</v>
      </c>
      <c r="G72" s="102" t="s">
        <v>176</v>
      </c>
      <c r="H72" s="102" t="s">
        <v>174</v>
      </c>
      <c r="I72" s="101" t="s">
        <v>459</v>
      </c>
      <c r="J72" s="101"/>
      <c r="K72" s="101"/>
      <c r="L72" s="53" t="s">
        <v>230</v>
      </c>
      <c r="M72" s="101" t="s">
        <v>14</v>
      </c>
      <c r="N72" s="105">
        <v>45992</v>
      </c>
      <c r="O72" s="105">
        <v>45870</v>
      </c>
      <c r="P72" s="105">
        <v>46234</v>
      </c>
      <c r="Q72" s="102"/>
    </row>
    <row r="73" spans="1:23" x14ac:dyDescent="0.35">
      <c r="A73" s="9">
        <v>38</v>
      </c>
      <c r="B73" s="102" t="s">
        <v>43</v>
      </c>
      <c r="C73" s="101"/>
      <c r="D73" s="102" t="s">
        <v>183</v>
      </c>
      <c r="E73" s="104" t="s">
        <v>193</v>
      </c>
      <c r="F73" s="102" t="s">
        <v>170</v>
      </c>
      <c r="G73" s="102" t="s">
        <v>177</v>
      </c>
      <c r="H73" s="102" t="s">
        <v>174</v>
      </c>
      <c r="I73" s="101" t="s">
        <v>459</v>
      </c>
      <c r="J73" s="101"/>
      <c r="K73" s="101"/>
      <c r="L73" s="53" t="s">
        <v>230</v>
      </c>
      <c r="M73" s="101" t="s">
        <v>14</v>
      </c>
      <c r="N73" s="105">
        <v>45992</v>
      </c>
      <c r="O73" s="105">
        <v>45701</v>
      </c>
      <c r="P73" s="105">
        <v>46430</v>
      </c>
      <c r="Q73" s="102"/>
    </row>
    <row r="74" spans="1:23" x14ac:dyDescent="0.35">
      <c r="A74" s="101">
        <v>25</v>
      </c>
      <c r="B74" s="102" t="s">
        <v>366</v>
      </c>
      <c r="C74" s="101"/>
      <c r="D74" s="104" t="s">
        <v>184</v>
      </c>
      <c r="E74" s="104" t="s">
        <v>194</v>
      </c>
      <c r="F74" s="102" t="s">
        <v>170</v>
      </c>
      <c r="G74" s="102" t="s">
        <v>176</v>
      </c>
      <c r="H74" s="102" t="s">
        <v>174</v>
      </c>
      <c r="I74" s="101" t="s">
        <v>459</v>
      </c>
      <c r="J74" s="101" t="s">
        <v>459</v>
      </c>
      <c r="K74" s="101"/>
      <c r="L74" s="53" t="s">
        <v>230</v>
      </c>
      <c r="M74" s="101" t="s">
        <v>14</v>
      </c>
      <c r="N74" s="105"/>
      <c r="O74" s="105">
        <v>45688</v>
      </c>
      <c r="P74" s="105">
        <v>46417</v>
      </c>
      <c r="Q74" s="102"/>
    </row>
    <row r="75" spans="1:23" x14ac:dyDescent="0.35">
      <c r="A75" s="101">
        <v>33</v>
      </c>
      <c r="B75" s="102" t="s">
        <v>364</v>
      </c>
      <c r="C75" s="103">
        <v>128750</v>
      </c>
      <c r="D75" s="104" t="s">
        <v>184</v>
      </c>
      <c r="E75" s="102" t="s">
        <v>589</v>
      </c>
      <c r="F75" s="102" t="s">
        <v>170</v>
      </c>
      <c r="G75" s="102" t="s">
        <v>176</v>
      </c>
      <c r="H75" s="102" t="s">
        <v>174</v>
      </c>
      <c r="I75" s="9" t="s">
        <v>459</v>
      </c>
      <c r="J75" s="101" t="s">
        <v>120</v>
      </c>
      <c r="K75" s="101"/>
      <c r="L75" s="53" t="s">
        <v>230</v>
      </c>
      <c r="M75" s="101" t="s">
        <v>14</v>
      </c>
      <c r="N75" s="184">
        <v>46054</v>
      </c>
      <c r="O75" s="133">
        <v>45957</v>
      </c>
      <c r="P75" s="133">
        <v>46686</v>
      </c>
      <c r="Q75" s="105" t="s">
        <v>452</v>
      </c>
      <c r="R75" s="12" t="s">
        <v>170</v>
      </c>
    </row>
    <row r="76" spans="1:23" x14ac:dyDescent="0.35">
      <c r="A76" s="101">
        <v>36</v>
      </c>
      <c r="B76" s="102" t="s">
        <v>367</v>
      </c>
      <c r="C76" s="103">
        <v>121127</v>
      </c>
      <c r="D76" s="104" t="s">
        <v>184</v>
      </c>
      <c r="E76" s="102" t="s">
        <v>589</v>
      </c>
      <c r="F76" s="102" t="s">
        <v>368</v>
      </c>
      <c r="G76" s="102" t="s">
        <v>176</v>
      </c>
      <c r="H76" s="102" t="s">
        <v>174</v>
      </c>
      <c r="I76" s="9" t="s">
        <v>459</v>
      </c>
      <c r="J76" s="101" t="s">
        <v>120</v>
      </c>
      <c r="K76" s="101">
        <v>6.5</v>
      </c>
      <c r="L76" s="53" t="s">
        <v>230</v>
      </c>
      <c r="M76" s="101" t="s">
        <v>14</v>
      </c>
      <c r="N76" s="184">
        <v>46054</v>
      </c>
      <c r="O76" s="105">
        <v>45860</v>
      </c>
      <c r="P76" s="105">
        <v>46589</v>
      </c>
      <c r="Q76" s="105" t="s">
        <v>452</v>
      </c>
      <c r="R76" s="12" t="s">
        <v>170</v>
      </c>
    </row>
  </sheetData>
  <autoFilter ref="A1:Q74" xr:uid="{83ACC6A5-E791-4B51-81BF-11E4E63C5CC1}">
    <sortState xmlns:xlrd2="http://schemas.microsoft.com/office/spreadsheetml/2017/richdata2" ref="A2:Q74">
      <sortCondition descending="1" ref="C1:C74"/>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Issue Description</vt:lpstr>
      <vt:lpstr>Phase wise count</vt:lpstr>
      <vt:lpstr>Resources allocations</vt:lpstr>
      <vt:lpstr>Utilization </vt:lpstr>
      <vt:lpstr>Summary Dashboard</vt:lpstr>
      <vt:lpstr>Updated Pivot</vt:lpstr>
      <vt:lpstr>AMER Project Details FY 26</vt:lpstr>
      <vt:lpstr>Project Details includes Closed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Thiyagarajan S</dc:creator>
  <cp:keywords/>
  <dc:description/>
  <cp:lastModifiedBy>Thiyagarajan S</cp:lastModifiedBy>
  <cp:revision/>
  <dcterms:created xsi:type="dcterms:W3CDTF">2024-04-26T10:19:18Z</dcterms:created>
  <dcterms:modified xsi:type="dcterms:W3CDTF">2026-03-09T10:21:46Z</dcterms:modified>
  <cp:category/>
  <cp:contentStatus/>
</cp:coreProperties>
</file>