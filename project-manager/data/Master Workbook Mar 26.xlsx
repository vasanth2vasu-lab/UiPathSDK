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ipath-my.sharepoint.com/personal/thiyagarajan_s_uipath_com/Documents/US Projects/Latest Updates/2026/Master Workbook March 26/"/>
    </mc:Choice>
  </mc:AlternateContent>
  <xr:revisionPtr revIDLastSave="1896" documentId="13_ncr:1_{673A49FF-BD47-46F4-98F7-BEC8BD3A2AD6}" xr6:coauthVersionLast="47" xr6:coauthVersionMax="47" xr10:uidLastSave="{465E0195-3F95-4DB0-B2A9-0392C9A70817}"/>
  <bookViews>
    <workbookView xWindow="-110" yWindow="-110" windowWidth="19420" windowHeight="10300" xr2:uid="{00000000-000D-0000-FFFF-FFFF00000000}"/>
  </bookViews>
  <sheets>
    <sheet name="Resource Utilization - Ram " sheetId="5" r:id="rId1"/>
  </sheets>
  <definedNames>
    <definedName name="_xlnm._FilterDatabase" localSheetId="0" hidden="1">'Resource Utilization - Ram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8" i="5" l="1"/>
  <c r="J137" i="5" l="1"/>
  <c r="J136" i="5" l="1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4" i="5" l="1"/>
  <c r="J114" i="5"/>
  <c r="J113" i="5" l="1"/>
  <c r="J112" i="5" l="1"/>
  <c r="J10" i="5"/>
  <c r="J71" i="5"/>
  <c r="J111" i="5"/>
  <c r="J110" i="5"/>
  <c r="J105" i="5"/>
  <c r="J33" i="5" l="1"/>
  <c r="J31" i="5"/>
  <c r="J30" i="5"/>
  <c r="J18" i="5"/>
  <c r="J11" i="5"/>
  <c r="J100" i="5"/>
  <c r="J21" i="5"/>
  <c r="J104" i="5"/>
  <c r="J55" i="5"/>
  <c r="J109" i="5" l="1"/>
  <c r="J108" i="5"/>
  <c r="J107" i="5" l="1"/>
  <c r="J106" i="5"/>
  <c r="J75" i="5"/>
  <c r="J103" i="5"/>
  <c r="J102" i="5"/>
  <c r="J101" i="5"/>
  <c r="J99" i="5"/>
  <c r="J13" i="5"/>
  <c r="J19" i="5"/>
  <c r="J98" i="5"/>
  <c r="J36" i="5" l="1"/>
  <c r="J94" i="5" l="1"/>
  <c r="J86" i="5"/>
  <c r="J85" i="5" l="1"/>
  <c r="J24" i="5" l="1"/>
  <c r="J57" i="5" l="1"/>
  <c r="J49" i="5"/>
  <c r="J12" i="5"/>
  <c r="J4" i="5" l="1"/>
  <c r="J3" i="5"/>
  <c r="J95" i="5"/>
  <c r="J88" i="5"/>
  <c r="J68" i="5"/>
  <c r="J37" i="5"/>
  <c r="J56" i="5"/>
  <c r="J89" i="5"/>
  <c r="J93" i="5"/>
  <c r="J81" i="5"/>
  <c r="J32" i="5"/>
  <c r="J34" i="5" l="1"/>
  <c r="J53" i="5"/>
  <c r="J76" i="5"/>
  <c r="J70" i="5"/>
  <c r="J58" i="5"/>
  <c r="J54" i="5" l="1"/>
  <c r="J15" i="5" l="1"/>
  <c r="J20" i="5"/>
  <c r="J22" i="5"/>
  <c r="J65" i="5" l="1"/>
  <c r="J39" i="5" l="1"/>
  <c r="J41" i="5"/>
  <c r="J43" i="5"/>
  <c r="J42" i="5"/>
  <c r="J46" i="5"/>
  <c r="J67" i="5"/>
  <c r="J9" i="5"/>
  <c r="J61" i="5" l="1"/>
  <c r="J23" i="5"/>
  <c r="J40" i="5"/>
  <c r="J35" i="5" l="1"/>
  <c r="J52" i="5" l="1"/>
  <c r="J29" i="5" l="1"/>
  <c r="J84" i="5"/>
  <c r="J25" i="5"/>
  <c r="J8" i="5"/>
  <c r="J90" i="5"/>
  <c r="J77" i="5"/>
  <c r="J91" i="5"/>
  <c r="J66" i="5"/>
  <c r="J16" i="5"/>
  <c r="J78" i="5"/>
  <c r="J17" i="5" l="1"/>
  <c r="J97" i="5" l="1"/>
  <c r="J79" i="5"/>
  <c r="J51" i="5"/>
  <c r="J47" i="5"/>
  <c r="J45" i="5"/>
  <c r="J96" i="5"/>
  <c r="J80" i="5"/>
  <c r="J82" i="5"/>
  <c r="J83" i="5"/>
  <c r="J64" i="5" l="1"/>
  <c r="J62" i="5"/>
  <c r="J6" i="5" l="1"/>
  <c r="J50" i="5"/>
  <c r="J69" i="5" l="1"/>
  <c r="J27" i="5" l="1"/>
  <c r="J73" i="5"/>
  <c r="J72" i="5"/>
  <c r="J59" i="5"/>
  <c r="J38" i="5"/>
  <c r="J5" i="5"/>
</calcChain>
</file>

<file path=xl/sharedStrings.xml><?xml version="1.0" encoding="utf-8"?>
<sst xmlns="http://schemas.openxmlformats.org/spreadsheetml/2006/main" count="1015" uniqueCount="286">
  <si>
    <t>Talent Name</t>
  </si>
  <si>
    <t>Role</t>
  </si>
  <si>
    <t>Availability</t>
  </si>
  <si>
    <t>Efforts Remaining</t>
  </si>
  <si>
    <t>Available From date</t>
  </si>
  <si>
    <t xml:space="preserve">Allocation Status </t>
  </si>
  <si>
    <t>Leave Plans</t>
  </si>
  <si>
    <t>Planned Projects</t>
  </si>
  <si>
    <t>Planned date</t>
  </si>
  <si>
    <t>A Singh</t>
  </si>
  <si>
    <t>DU Dev</t>
  </si>
  <si>
    <t>Accelirate</t>
  </si>
  <si>
    <t>Available</t>
  </si>
  <si>
    <t>100% Available</t>
  </si>
  <si>
    <t>Group1</t>
  </si>
  <si>
    <t>Abdullah M S</t>
  </si>
  <si>
    <t>SA</t>
  </si>
  <si>
    <t>Wonderbotz</t>
  </si>
  <si>
    <t>Deloitte Aus, Tokyo Electron,</t>
  </si>
  <si>
    <t>Abhishek Kumar</t>
  </si>
  <si>
    <t>Dev</t>
  </si>
  <si>
    <t>UiPath</t>
  </si>
  <si>
    <t>Intel</t>
  </si>
  <si>
    <t>Abhishek S</t>
  </si>
  <si>
    <t>HUB</t>
  </si>
  <si>
    <t>Aditya Mehare</t>
  </si>
  <si>
    <t>Sr Dev</t>
  </si>
  <si>
    <t>Prompt Care</t>
  </si>
  <si>
    <t>Ajay Steevan Monteiro</t>
  </si>
  <si>
    <t>HCL</t>
  </si>
  <si>
    <t>Veolia</t>
  </si>
  <si>
    <t>Akarsh R</t>
  </si>
  <si>
    <t>Akash Singhal</t>
  </si>
  <si>
    <t>Comcast</t>
  </si>
  <si>
    <t>Amaladeepan S</t>
  </si>
  <si>
    <t>Vandalia CAMC</t>
  </si>
  <si>
    <t>Ameya Shinde</t>
  </si>
  <si>
    <t>Anand Karn</t>
  </si>
  <si>
    <t>Equifax</t>
  </si>
  <si>
    <t>Anshuman Rai</t>
  </si>
  <si>
    <t>Voya Agentic</t>
  </si>
  <si>
    <t>Balasubramanian subramanian</t>
  </si>
  <si>
    <t>Aligne Techne</t>
  </si>
  <si>
    <t>WAB Agentic</t>
  </si>
  <si>
    <t>Allocated to WAB 0n 16 Oct 2025</t>
  </si>
  <si>
    <t>Bhabagrahi Lenka</t>
  </si>
  <si>
    <t>Apple</t>
  </si>
  <si>
    <t>Allocated to Apple on 08 July 2025</t>
  </si>
  <si>
    <t>Bhavya Vats</t>
  </si>
  <si>
    <t>Alliant Credit Union</t>
  </si>
  <si>
    <t>Bhuvaneswari M</t>
  </si>
  <si>
    <t>Xencia</t>
  </si>
  <si>
    <t>Angelo Gordon</t>
  </si>
  <si>
    <t>Chaitanya Doneparthi</t>
  </si>
  <si>
    <t>Chaman Shaik</t>
  </si>
  <si>
    <t>JCI Agentic,  Comcast</t>
  </si>
  <si>
    <t>Chetan Dhawan</t>
  </si>
  <si>
    <t xml:space="preserve">Micron </t>
  </si>
  <si>
    <t>Allocated  to Micron Migration Project on 14 Aug</t>
  </si>
  <si>
    <t>Deeksha Bhat</t>
  </si>
  <si>
    <t>Deepika Kanagaraju</t>
  </si>
  <si>
    <t>BA</t>
  </si>
  <si>
    <t>Deloitte, Icertis</t>
  </si>
  <si>
    <t>Dharunya Devi Balakrishnan</t>
  </si>
  <si>
    <t>29 Sep - 06 Oct</t>
  </si>
  <si>
    <t>Dinesh Prasa</t>
  </si>
  <si>
    <t>Icertis</t>
  </si>
  <si>
    <t>Allocated to Icertis on 07 Nov 2025</t>
  </si>
  <si>
    <t>Dinesh T</t>
  </si>
  <si>
    <t>Pepsi Migration</t>
  </si>
  <si>
    <t>Durga Koushik Perumalla</t>
  </si>
  <si>
    <t>BJ's</t>
  </si>
  <si>
    <t>Ekta</t>
  </si>
  <si>
    <t>AON Swift</t>
  </si>
  <si>
    <t>George Ken</t>
  </si>
  <si>
    <t>Standard</t>
  </si>
  <si>
    <t>Hitesh Kumar</t>
  </si>
  <si>
    <t>Endurance Services</t>
  </si>
  <si>
    <t>Allocated to Endurance Services on 31 Oct 2025</t>
  </si>
  <si>
    <t>Planned for WAB Agentic</t>
  </si>
  <si>
    <t>Hitesh Kumar Kumar</t>
  </si>
  <si>
    <t>PM</t>
  </si>
  <si>
    <t>Prompt Care/HUB/Amazon</t>
  </si>
  <si>
    <t>Jegadesan Radhakrishnan</t>
  </si>
  <si>
    <t>Allocated to Apple</t>
  </si>
  <si>
    <t>Kamal Raj</t>
  </si>
  <si>
    <t>Angelo Gordon, GP1, Deloitte, Intel,icertis</t>
  </si>
  <si>
    <t>AG - 66
Onity - 2
Del - 3
Snap on - 230</t>
  </si>
  <si>
    <t>Karthik Deshpande</t>
  </si>
  <si>
    <t>Memorial Sloan Kettering</t>
  </si>
  <si>
    <t>Allocated to Memorial Sloan Kettering on 18/11/2025</t>
  </si>
  <si>
    <t>Kumuda Siri T T</t>
  </si>
  <si>
    <t>Lirikhomba Ayekpam</t>
  </si>
  <si>
    <t>Snap on Credit, Alliant Credit Union</t>
  </si>
  <si>
    <t>Snap On 104
Alliant - 256</t>
  </si>
  <si>
    <t>Intuit</t>
  </si>
  <si>
    <t>Mansi Bajpai</t>
  </si>
  <si>
    <t>Megha Prabhu</t>
  </si>
  <si>
    <t>Mina Mundhe</t>
  </si>
  <si>
    <t>Navas Hamsa</t>
  </si>
  <si>
    <t>Allocated to Apple on 11 June 2025</t>
  </si>
  <si>
    <t>Nikita Pai</t>
  </si>
  <si>
    <t>Planned for JCI Agentic</t>
  </si>
  <si>
    <t>Liberty</t>
  </si>
  <si>
    <t>Citizens Bank</t>
  </si>
  <si>
    <t>Parth Doshi</t>
  </si>
  <si>
    <t>JPMC</t>
  </si>
  <si>
    <t>Group 1 Automative</t>
  </si>
  <si>
    <t>Poojitha Mogili</t>
  </si>
  <si>
    <t>Prativa Karali</t>
  </si>
  <si>
    <t>Alloacted to PromptCare on 10 July 2025</t>
  </si>
  <si>
    <t>Lead Dev</t>
  </si>
  <si>
    <t>Purushotham Batthula</t>
  </si>
  <si>
    <t>Allocated to Apple on 01 July 2025</t>
  </si>
  <si>
    <t>Raghavendraprasad Bhat</t>
  </si>
  <si>
    <t>FintThrive, Equifax</t>
  </si>
  <si>
    <t>Rahul Polasani</t>
  </si>
  <si>
    <t>Raja Christopher S</t>
  </si>
  <si>
    <t>Rajashri Gudi</t>
  </si>
  <si>
    <t>Rajat Gupta</t>
  </si>
  <si>
    <t xml:space="preserve"> iCertis</t>
  </si>
  <si>
    <t>Amazon -134
Icertis - 102</t>
  </si>
  <si>
    <t>Raju Naik M M</t>
  </si>
  <si>
    <t>Take2games</t>
  </si>
  <si>
    <t>Allocated to Take 2 on 20 Aug 2025</t>
  </si>
  <si>
    <t>Ranjith Udayakumar</t>
  </si>
  <si>
    <t>Rijan Gaha</t>
  </si>
  <si>
    <t xml:space="preserve">BA </t>
  </si>
  <si>
    <t>Ritesh Burman</t>
  </si>
  <si>
    <t>Allocated to Intel on 19 Aug 2025</t>
  </si>
  <si>
    <t>Rohit Rathore</t>
  </si>
  <si>
    <t>Sachdeep Singh</t>
  </si>
  <si>
    <t>Sagar P Sujir</t>
  </si>
  <si>
    <t>Sagi Shailendra Varma</t>
  </si>
  <si>
    <t>Angelo Gordon,  Promptcare, Avista</t>
  </si>
  <si>
    <t>AG - 111
PC M1  154
PC M2 44
PC MS3 154
PC MS4 139</t>
  </si>
  <si>
    <t>Sandeep B</t>
  </si>
  <si>
    <t>Sandeep Reddy Mallannagari</t>
  </si>
  <si>
    <t>Sandip Kothari</t>
  </si>
  <si>
    <t>Manged Services</t>
  </si>
  <si>
    <t>Skanska</t>
  </si>
  <si>
    <t>Allocated to Skanska on 17 Sep 2025</t>
  </si>
  <si>
    <t>Sanjeev Gupta</t>
  </si>
  <si>
    <t>Allocated  to Intel 09 June 2025</t>
  </si>
  <si>
    <t>Santhosh Arjun</t>
  </si>
  <si>
    <t>Saranya K R</t>
  </si>
  <si>
    <t>Sarita Shukla</t>
  </si>
  <si>
    <t>Senthil G</t>
  </si>
  <si>
    <t>LMS</t>
  </si>
  <si>
    <t>Shijin Mathew Jacob</t>
  </si>
  <si>
    <t>Shikha Kumari</t>
  </si>
  <si>
    <t xml:space="preserve">HUB </t>
  </si>
  <si>
    <t>Shlok Singh</t>
  </si>
  <si>
    <t>Shobhit Srivastava</t>
  </si>
  <si>
    <t>Initiate onboarding to Avista</t>
  </si>
  <si>
    <t>Shubham Anand</t>
  </si>
  <si>
    <t>AFL</t>
  </si>
  <si>
    <t>Shubham Jadhav</t>
  </si>
  <si>
    <t>BoA</t>
  </si>
  <si>
    <t>Allocated  to BOA - Onboarding in Progress</t>
  </si>
  <si>
    <t>Shubham Tyagi</t>
  </si>
  <si>
    <t>Deloitte Aus</t>
  </si>
  <si>
    <t>Siddappa Angadi</t>
  </si>
  <si>
    <t>Singoji Durga Bhavani</t>
  </si>
  <si>
    <t>Citizens bank</t>
  </si>
  <si>
    <t>Sourabh Kale</t>
  </si>
  <si>
    <t>Alloacted to Icertis on 07 Nov 2025</t>
  </si>
  <si>
    <t>Sowmiyaa P</t>
  </si>
  <si>
    <t>Sridhar Amudala</t>
  </si>
  <si>
    <t>Surya Guddanti</t>
  </si>
  <si>
    <t>Snap on Credit</t>
  </si>
  <si>
    <t>Sushmita Dey</t>
  </si>
  <si>
    <t>Syed Abdhahir</t>
  </si>
  <si>
    <t>Allocated to Apple on 09 June 2025</t>
  </si>
  <si>
    <t>Thiyagarajan S</t>
  </si>
  <si>
    <t>Administrative General</t>
  </si>
  <si>
    <t>Usama Mirakar</t>
  </si>
  <si>
    <t>Allocated to Liberty on 05 Nov 2025</t>
  </si>
  <si>
    <t>Planned for Edgewel</t>
  </si>
  <si>
    <t>Vamsi Krishna</t>
  </si>
  <si>
    <t>Allocated to Comcast on 10 July 2025</t>
  </si>
  <si>
    <t>Varun Bhardwaj</t>
  </si>
  <si>
    <t>Promptcare</t>
  </si>
  <si>
    <t>Vasanth S</t>
  </si>
  <si>
    <t>Avista</t>
  </si>
  <si>
    <t>Vasanth Sankaran</t>
  </si>
  <si>
    <t>Allocated to Cigna on 29 July 2025</t>
  </si>
  <si>
    <t>Vasantha R</t>
  </si>
  <si>
    <t>Allocated to Pepsi Co</t>
  </si>
  <si>
    <t>Vinay D</t>
  </si>
  <si>
    <t>Allocated to Apple on 18 June 2025</t>
  </si>
  <si>
    <t>Vinod Badgujar</t>
  </si>
  <si>
    <t>J&amp;J World</t>
  </si>
  <si>
    <t>Yash Shah</t>
  </si>
  <si>
    <t>Yogesh Memane</t>
  </si>
  <si>
    <t>Shivanagouda Naik</t>
  </si>
  <si>
    <t>JCI Agentic</t>
  </si>
  <si>
    <t>Company Name</t>
  </si>
  <si>
    <t>Allocated to Deloitte AUS Project on 10 Dec 2025</t>
  </si>
  <si>
    <t>Deloitte, TQL</t>
  </si>
  <si>
    <t>Protivity</t>
  </si>
  <si>
    <t>TQL</t>
  </si>
  <si>
    <t>Allocated to TQL on 19 Dec 2025</t>
  </si>
  <si>
    <t>Allocated CareSource on 18 Dec 2025</t>
  </si>
  <si>
    <t>Angelo Gordon,  Promptcare, Avista, CareSource</t>
  </si>
  <si>
    <t>Prompt Care, CareSource</t>
  </si>
  <si>
    <t>Allocated to Caresource on 24/12</t>
  </si>
  <si>
    <t>CareSource</t>
  </si>
  <si>
    <t>Allocated to PSSD 1137 internal cross charge Project on 06 Jan</t>
  </si>
  <si>
    <t>Allocated to Ascension on 14 Jan 2026</t>
  </si>
  <si>
    <t>Ascension</t>
  </si>
  <si>
    <t>Allocated  to J&amp;J  on 05 Nov 2025</t>
  </si>
  <si>
    <t>Allocated to CareSource on 23 Jan 2026</t>
  </si>
  <si>
    <t>Rajesh Sambasivam</t>
  </si>
  <si>
    <t>Amazon India</t>
  </si>
  <si>
    <t>Anisha Gupta</t>
  </si>
  <si>
    <t>Rajavardhan Jeldi</t>
  </si>
  <si>
    <t>Febin Prakash</t>
  </si>
  <si>
    <t>Aman Shaik</t>
  </si>
  <si>
    <t>Wells Fargo</t>
  </si>
  <si>
    <t>Nikhil Jain</t>
  </si>
  <si>
    <t>Sonai Layek</t>
  </si>
  <si>
    <t>Priyank Doshi</t>
  </si>
  <si>
    <t>HCA</t>
  </si>
  <si>
    <t>Internal ProServe-010925</t>
  </si>
  <si>
    <t>Mehul Parmar</t>
  </si>
  <si>
    <t>Allocated to TQL on 30 jan 2026</t>
  </si>
  <si>
    <t>Allocated to Caresource on 02 Feb 2026</t>
  </si>
  <si>
    <t>Ashutosh Saxena</t>
  </si>
  <si>
    <t>SA  - 210</t>
  </si>
  <si>
    <t>Allocated  to Integrichain on 02 Feb 2026</t>
  </si>
  <si>
    <t>Manisha Jayasekar</t>
  </si>
  <si>
    <t>Allocated to Intel on 06 Feb 2026</t>
  </si>
  <si>
    <t>Kuppuraj Kandasamy</t>
  </si>
  <si>
    <t>Allocated to Intel on 11 Feb 2026</t>
  </si>
  <si>
    <t>Naseem Fatima Akthar Banu</t>
  </si>
  <si>
    <t>Allocated on 11 Feb 2026</t>
  </si>
  <si>
    <t>Integrichain</t>
  </si>
  <si>
    <t>Amazon AWS</t>
  </si>
  <si>
    <t>CSU</t>
  </si>
  <si>
    <t>Nikhitha KV</t>
  </si>
  <si>
    <t>Allocated to Ascension on 13 Feb 2026</t>
  </si>
  <si>
    <t>Accenture FIS</t>
  </si>
  <si>
    <t>Saketh Revilla</t>
  </si>
  <si>
    <t>Onboarding in Progress for JPMC on prem to cloud Migration</t>
  </si>
  <si>
    <t>Kavin S</t>
  </si>
  <si>
    <t>Khizar Sherif</t>
  </si>
  <si>
    <t>Allocated to Amazon, awaiting customer decision post interview</t>
  </si>
  <si>
    <t>Onboarding in progress to Icertis</t>
  </si>
  <si>
    <t>Allocated to Icertis on 11 Feb 2026</t>
  </si>
  <si>
    <t>Sivasankari s</t>
  </si>
  <si>
    <t>Rishabh Vats</t>
  </si>
  <si>
    <t>Venkatesh Vasamsetti</t>
  </si>
  <si>
    <t>kalki Kumar</t>
  </si>
  <si>
    <t>Nihith Pellanagrove</t>
  </si>
  <si>
    <t>Syed MUZZAMMIL</t>
  </si>
  <si>
    <t>M N Akhila N Akhila</t>
  </si>
  <si>
    <t>K Veerapandiyan</t>
  </si>
  <si>
    <t>Nirojini Chandramohan</t>
  </si>
  <si>
    <t>Phani Kumar Chunduru</t>
  </si>
  <si>
    <t>Lisha Anbazhagan</t>
  </si>
  <si>
    <t>Anees Nadaf</t>
  </si>
  <si>
    <t>Bhagyashree Hadule</t>
  </si>
  <si>
    <t>Chubaas G</t>
  </si>
  <si>
    <t>Girish Krishnapatnam</t>
  </si>
  <si>
    <t>Jayant Kumar</t>
  </si>
  <si>
    <t>Kavya K</t>
  </si>
  <si>
    <t>Maheshwari Gaikwad</t>
  </si>
  <si>
    <t>Mala Kanagaraj</t>
  </si>
  <si>
    <t>Naresh Manchala</t>
  </si>
  <si>
    <t>Pranav Kashyap</t>
  </si>
  <si>
    <t>Siddartha Narayanan</t>
  </si>
  <si>
    <t>Atisha Raikar</t>
  </si>
  <si>
    <t>Sr. Dev</t>
  </si>
  <si>
    <t>Sanjana M</t>
  </si>
  <si>
    <t>Aravindh Baskaran</t>
  </si>
  <si>
    <t>TQL, Amazon</t>
  </si>
  <si>
    <t>Akash Mugundhan</t>
  </si>
  <si>
    <t>Exxon</t>
  </si>
  <si>
    <t>Kiran Varala</t>
  </si>
  <si>
    <t>Harshbvardhan Vemula</t>
  </si>
  <si>
    <t>Alloacted to Icertis on 25 Feb 2025</t>
  </si>
  <si>
    <t>02-Mar-26</t>
  </si>
  <si>
    <t>09-Mar-26</t>
  </si>
  <si>
    <t>16-Mar-26</t>
  </si>
  <si>
    <t>23-Mar-26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</si>
</sst>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/>
  </cellStyleXfs>
  <cellXfs count="21">
    <xf numFmtId="0" fontId="0" fillId="0" borderId="0" xfId="0"/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5" fontId="4" fillId="0" borderId="0" xfId="1" applyNumberFormat="1" applyFont="1" applyAlignment="1">
      <alignment vertical="center"/>
    </xf>
    <xf numFmtId="0" fontId="4" fillId="0" borderId="0" xfId="1" applyFont="1" applyAlignment="1">
      <alignment horizontal="center" vertical="center" wrapText="1"/>
    </xf>
    <xf numFmtId="15" fontId="3" fillId="0" borderId="0" xfId="0" applyNumberFormat="1" applyFont="1" applyAlignment="1">
      <alignment vertical="center"/>
    </xf>
    <xf numFmtId="0" fontId="4" fillId="0" borderId="0" xfId="1" applyFont="1" applyAlignment="1">
      <alignment horizontal="left" vertical="center"/>
    </xf>
    <xf numFmtId="15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 wrapText="1"/>
    </xf>
    <xf numFmtId="14" fontId="9" fillId="0" borderId="0" xfId="0" applyNumberFormat="1" applyFont="1" applyAlignment="1">
      <alignment vertical="center"/>
    </xf>
    <xf numFmtId="17" fontId="4" fillId="0" borderId="0" xfId="1" applyNumberFormat="1" applyFont="1" applyAlignment="1">
      <alignment vertical="center"/>
    </xf>
    <xf numFmtId="9" fontId="5" fillId="0" borderId="0" xfId="1" applyNumberFormat="1" applyFont="1" applyAlignment="1">
      <alignment vertical="center"/>
    </xf>
    <xf numFmtId="0" fontId="3" fillId="0" borderId="0" xfId="1" applyFont="1" applyAlignment="1">
      <alignment vertical="center" wrapText="1"/>
    </xf>
    <xf numFmtId="15" fontId="6" fillId="0" borderId="0" xfId="0" applyNumberFormat="1" applyFont="1" applyAlignment="1">
      <alignment horizontal="center" vertical="center"/>
    </xf>
    <xf numFmtId="0" fontId="4" fillId="0" borderId="0" xfId="1" quotePrefix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1" applyFont="1" applyAlignment="1">
      <alignment vertical="center"/>
    </xf>
    <xf numFmtId="15" fontId="5" fillId="0" borderId="0" xfId="1" applyNumberFormat="1" applyFont="1" applyAlignment="1">
      <alignment vertical="center"/>
    </xf>
    <xf numFmtId="0" fontId="10" fillId="0" borderId="0" xfId="4" applyAlignment="1">
      <alignment vertical="center"/>
    </xf>
  </cellXfs>
  <cellStyles count="5">
    <cellStyle name="Currency 2" xfId="2" xr:uid="{BE0AA11D-CBEF-4E75-A091-8C333EF61FF5}"/>
    <cellStyle name="Hyperlink" xfId="4" builtinId="8"/>
    <cellStyle name="Normal" xfId="0" builtinId="0"/>
    <cellStyle name="Normal 2" xfId="1" xr:uid="{07B493AD-B6D3-4AF2-A639-4008AA95AEB5}"/>
    <cellStyle name="Normal 3" xfId="3" xr:uid="{C4D2F8A3-14E3-469A-A85D-DDD1E758D33B}"/>
  </cellStyles>
  <dxfs count="24"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90D001-A8C0-4D7F-A0D2-641BCF61EF3D}" name="Table1333" displayName="Table1333" ref="A1:N138" headerRowDxfId="23" dataDxfId="22" totalsRowDxfId="21">
  <autoFilter ref="A1:N138" xr:uid="{2290D001-A8C0-4D7F-A0D2-641BCF61EF3D}"/>
  <sortState xmlns:xlrd2="http://schemas.microsoft.com/office/spreadsheetml/2017/richdata2" ref="A2:N97">
    <sortCondition ref="A2:A97"/>
  </sortState>
  <tableColumns count="14">
    <tableColumn id="1" xr3:uid="{BCEC9919-1E73-469E-A447-0FD5F3C7AE2B}" name="Talent Name" dataDxfId="20" dataCellStyle="Normal 2"/>
    <tableColumn id="5" xr3:uid="{09684756-FDA3-435F-BAEE-4375FE37E7B4}" name="Role" dataDxfId="19" dataCellStyle="Normal 2"/>
    <tableColumn id="11" xr3:uid="{23333353-AE7E-4D24-9C24-7B2C19187A7C}" name="Company Name" dataDxfId="18"/>
    <tableColumn id="9" xr3:uid="{741B05C6-F645-462B-95C8-D5DAC53FA0DF}" name="02-Mar-26" dataDxfId="17" dataCellStyle="Normal 2"/>
    <tableColumn id="10" xr3:uid="{2A266314-D79C-42D6-9B6C-9464607A776E}" name="09-Mar-26" dataDxfId="16" dataCellStyle="Normal 2"/>
    <tableColumn id="6" xr3:uid="{B5B6626D-4E90-4D21-B788-2A54BC7B92E8}" name="16-Mar-26" dataDxfId="15" dataCellStyle="Normal 2"/>
    <tableColumn id="7" xr3:uid="{3CCE17E9-E13C-4284-87CE-0E34DC0095C5}" name="23-Mar-26" dataDxfId="14" dataCellStyle="Normal 2"/>
    <tableColumn id="2" xr3:uid="{5F67D6BD-18E0-4931-BD87-DABAB432E6EC}" name="Availability" dataDxfId="13" totalsRowDxfId="12" dataCellStyle="Normal 2"/>
    <tableColumn id="14" xr3:uid="{78C4DD38-0A68-48FE-88ED-009DB48380D4}" name="Efforts Remaining" dataDxfId="11" totalsRowDxfId="10" dataCellStyle="Normal 2"/>
    <tableColumn id="12" xr3:uid="{24AAA652-F042-42E9-B829-23EB3BDF300D}" name="Available From date" dataDxfId="9" totalsRowDxfId="8" dataCellStyle="Normal 2"/>
    <tableColumn id="13" xr3:uid="{04A2DB2E-0B26-451F-A444-83537D470B88}" name="Allocation Status " dataDxfId="7" totalsRowDxfId="6" dataCellStyle="Normal 2"/>
    <tableColumn id="15" xr3:uid="{24C25DB4-E3D4-4F30-8F69-BC0849D8B556}" name="Leave Plans" dataDxfId="5" totalsRowDxfId="4" dataCellStyle="Normal 2"/>
    <tableColumn id="16" xr3:uid="{2C9E705C-C1C8-45FD-97C8-D6B7C544EF95}" name="Planned Projects" dataDxfId="3" totalsRowDxfId="2" dataCellStyle="Normal 2"/>
    <tableColumn id="17" xr3:uid="{5F18E280-D529-4DAD-87B1-33E39A68299C}" name="Planned date" dataDxfId="1" totalsRowDxfId="0" dataCellStyle="Normal 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ipath.lightning.force.com/lightning/r/0035b00003yQfeLAAS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F687-B7A0-4A6D-8EA4-B8169004F808}">
  <dimension ref="A1:N139"/>
  <sheetViews>
    <sheetView tabSelected="1" zoomScaleNormal="100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G9" sqref="G9"/>
    </sheetView>
  </sheetViews>
  <sheetFormatPr defaultColWidth="8.7265625" defaultRowHeight="15" customHeight="1" x14ac:dyDescent="0.35"/>
  <cols>
    <col min="1" max="1" width="28" style="3" bestFit="1" customWidth="1"/>
    <col min="2" max="2" width="11.81640625" style="3" customWidth="1"/>
    <col min="3" max="3" width="18.1796875" style="3" bestFit="1" customWidth="1"/>
    <col min="4" max="7" width="31.453125" style="3" bestFit="1" customWidth="1"/>
    <col min="8" max="8" width="17.1796875" style="3" bestFit="1" customWidth="1"/>
    <col min="9" max="9" width="19.7265625" style="3" bestFit="1" customWidth="1"/>
    <col min="10" max="10" width="21.453125" style="3" bestFit="1" customWidth="1"/>
    <col min="11" max="11" width="41.26953125" style="3" bestFit="1" customWidth="1"/>
    <col min="12" max="12" width="23.54296875" style="3" bestFit="1" customWidth="1"/>
    <col min="13" max="13" width="18.81640625" style="3" bestFit="1" customWidth="1"/>
    <col min="14" max="14" width="15.7265625" style="3" bestFit="1" customWidth="1"/>
    <col min="15" max="16384" width="8.7265625" style="3"/>
  </cols>
  <sheetData>
    <row r="1" spans="1:14" s="4" customFormat="1" ht="15" customHeight="1" x14ac:dyDescent="0.35">
      <c r="A1" s="4" t="s">
        <v>0</v>
      </c>
      <c r="B1" s="4" t="s">
        <v>1</v>
      </c>
      <c r="C1" s="4" t="s">
        <v>197</v>
      </c>
      <c r="D1" s="15" t="s">
        <v>282</v>
      </c>
      <c r="E1" s="15" t="s">
        <v>283</v>
      </c>
      <c r="F1" s="15" t="s">
        <v>284</v>
      </c>
      <c r="G1" s="15" t="s">
        <v>285</v>
      </c>
      <c r="H1" s="4" t="s">
        <v>2</v>
      </c>
      <c r="I1" s="4" t="s">
        <v>3</v>
      </c>
      <c r="J1" s="4" t="s">
        <v>4</v>
      </c>
      <c r="K1" s="4" t="s">
        <v>5</v>
      </c>
      <c r="L1" s="15" t="s">
        <v>6</v>
      </c>
      <c r="M1" s="4" t="s">
        <v>7</v>
      </c>
      <c r="N1" s="4" t="s">
        <v>8</v>
      </c>
    </row>
    <row r="2" spans="1:14" ht="15" customHeight="1" x14ac:dyDescent="0.35">
      <c r="A2" s="3" t="s">
        <v>9</v>
      </c>
      <c r="B2" s="3" t="s">
        <v>10</v>
      </c>
      <c r="C2" s="3" t="s">
        <v>11</v>
      </c>
      <c r="D2" s="3" t="s">
        <v>161</v>
      </c>
      <c r="E2" s="3" t="s">
        <v>161</v>
      </c>
      <c r="F2" s="3" t="s">
        <v>161</v>
      </c>
      <c r="G2" s="3" t="s">
        <v>161</v>
      </c>
      <c r="H2" s="4"/>
      <c r="I2" s="1"/>
      <c r="J2" s="5"/>
      <c r="K2" s="1" t="s">
        <v>198</v>
      </c>
      <c r="L2" s="2"/>
      <c r="M2" s="1" t="s">
        <v>14</v>
      </c>
      <c r="N2" s="1"/>
    </row>
    <row r="3" spans="1:14" ht="15" customHeight="1" x14ac:dyDescent="0.35">
      <c r="A3" t="s">
        <v>15</v>
      </c>
      <c r="B3" s="3" t="s">
        <v>16</v>
      </c>
      <c r="C3" s="3" t="s">
        <v>17</v>
      </c>
      <c r="D3" s="3" t="s">
        <v>18</v>
      </c>
      <c r="E3" s="3" t="s">
        <v>18</v>
      </c>
      <c r="F3" s="3" t="s">
        <v>18</v>
      </c>
      <c r="G3" s="3" t="s">
        <v>18</v>
      </c>
      <c r="H3" s="1"/>
      <c r="I3" s="1">
        <v>43</v>
      </c>
      <c r="J3" s="5">
        <f t="shared" ref="J3:J10" ca="1" si="0">WORKDAY(TODAY(),I3/8,1)</f>
        <v>46091</v>
      </c>
      <c r="K3" s="1"/>
      <c r="L3" s="6"/>
      <c r="M3" s="1"/>
      <c r="N3" s="1"/>
    </row>
    <row r="4" spans="1:14" ht="15" customHeight="1" x14ac:dyDescent="0.35">
      <c r="A4" s="3" t="s">
        <v>19</v>
      </c>
      <c r="B4" s="3" t="s">
        <v>20</v>
      </c>
      <c r="C4" s="3" t="s">
        <v>21</v>
      </c>
      <c r="D4" s="3" t="s">
        <v>22</v>
      </c>
      <c r="E4" s="3" t="s">
        <v>22</v>
      </c>
      <c r="F4" s="3" t="s">
        <v>22</v>
      </c>
      <c r="G4" s="3" t="s">
        <v>22</v>
      </c>
      <c r="H4" s="1"/>
      <c r="I4" s="1">
        <v>234</v>
      </c>
      <c r="J4" s="5">
        <f t="shared" ca="1" si="0"/>
        <v>46125</v>
      </c>
      <c r="K4" s="1"/>
      <c r="L4" s="2"/>
      <c r="M4" s="1"/>
      <c r="N4" s="1"/>
    </row>
    <row r="5" spans="1:14" ht="15" customHeight="1" x14ac:dyDescent="0.35">
      <c r="A5" s="3" t="s">
        <v>23</v>
      </c>
      <c r="B5" s="3" t="s">
        <v>10</v>
      </c>
      <c r="C5" s="3" t="s">
        <v>21</v>
      </c>
      <c r="D5" s="3" t="s">
        <v>24</v>
      </c>
      <c r="E5" s="3" t="s">
        <v>24</v>
      </c>
      <c r="F5" s="3" t="s">
        <v>24</v>
      </c>
      <c r="G5" s="3" t="s">
        <v>24</v>
      </c>
      <c r="H5" s="1"/>
      <c r="I5" s="1">
        <v>64</v>
      </c>
      <c r="J5" s="5">
        <f t="shared" ca="1" si="0"/>
        <v>46094</v>
      </c>
      <c r="K5" s="1"/>
      <c r="L5" s="2"/>
      <c r="M5" s="1"/>
      <c r="N5" s="1"/>
    </row>
    <row r="6" spans="1:14" ht="15.65" customHeight="1" x14ac:dyDescent="0.35">
      <c r="A6" s="3" t="s">
        <v>25</v>
      </c>
      <c r="B6" s="3" t="s">
        <v>26</v>
      </c>
      <c r="C6" s="3" t="s">
        <v>17</v>
      </c>
      <c r="D6" s="3" t="s">
        <v>27</v>
      </c>
      <c r="E6" s="3" t="s">
        <v>27</v>
      </c>
      <c r="F6" s="3" t="s">
        <v>27</v>
      </c>
      <c r="G6" s="3" t="s">
        <v>196</v>
      </c>
      <c r="I6" s="1">
        <v>92</v>
      </c>
      <c r="J6" s="5">
        <f t="shared" ca="1" si="0"/>
        <v>46099</v>
      </c>
      <c r="K6" s="1"/>
    </row>
    <row r="7" spans="1:14" ht="15.65" customHeight="1" x14ac:dyDescent="0.35">
      <c r="A7" s="1" t="s">
        <v>28</v>
      </c>
      <c r="B7" s="1" t="s">
        <v>20</v>
      </c>
      <c r="C7" s="3" t="s">
        <v>29</v>
      </c>
      <c r="D7" s="1" t="s">
        <v>30</v>
      </c>
      <c r="E7" s="1" t="s">
        <v>30</v>
      </c>
      <c r="F7" s="1" t="s">
        <v>30</v>
      </c>
      <c r="G7" s="1" t="s">
        <v>30</v>
      </c>
      <c r="H7" s="1"/>
      <c r="I7" s="1"/>
      <c r="J7" s="1"/>
      <c r="K7" s="1"/>
      <c r="L7" s="2"/>
      <c r="M7" s="1"/>
      <c r="N7" s="1"/>
    </row>
    <row r="8" spans="1:14" ht="11.5" x14ac:dyDescent="0.35">
      <c r="A8" s="1" t="s">
        <v>31</v>
      </c>
      <c r="B8" s="1" t="s">
        <v>20</v>
      </c>
      <c r="C8" s="3" t="s">
        <v>11</v>
      </c>
      <c r="D8" s="1" t="s">
        <v>201</v>
      </c>
      <c r="E8" s="1" t="s">
        <v>201</v>
      </c>
      <c r="F8" s="1" t="s">
        <v>201</v>
      </c>
      <c r="G8" s="1" t="s">
        <v>201</v>
      </c>
      <c r="H8" s="1"/>
      <c r="I8" s="1">
        <v>120</v>
      </c>
      <c r="J8" s="5">
        <f t="shared" ca="1" si="0"/>
        <v>46105</v>
      </c>
      <c r="K8" s="1" t="s">
        <v>226</v>
      </c>
      <c r="L8" s="2"/>
      <c r="M8" s="1"/>
      <c r="N8" s="1"/>
    </row>
    <row r="9" spans="1:14" ht="15" customHeight="1" x14ac:dyDescent="0.35">
      <c r="A9" s="3" t="s">
        <v>32</v>
      </c>
      <c r="B9" s="3" t="s">
        <v>26</v>
      </c>
      <c r="C9" s="3" t="s">
        <v>29</v>
      </c>
      <c r="D9" s="3" t="s">
        <v>33</v>
      </c>
      <c r="E9" s="3" t="s">
        <v>33</v>
      </c>
      <c r="F9" s="3" t="s">
        <v>33</v>
      </c>
      <c r="G9" s="3" t="s">
        <v>33</v>
      </c>
      <c r="H9" s="1"/>
      <c r="I9" s="1">
        <v>270</v>
      </c>
      <c r="J9" s="5">
        <f t="shared" ca="1" si="0"/>
        <v>46129</v>
      </c>
      <c r="K9" s="1"/>
      <c r="L9" s="6"/>
      <c r="M9" s="1"/>
      <c r="N9" s="1"/>
    </row>
    <row r="10" spans="1:14" ht="15" customHeight="1" x14ac:dyDescent="0.35">
      <c r="A10" s="1" t="s">
        <v>34</v>
      </c>
      <c r="B10" s="1" t="s">
        <v>20</v>
      </c>
      <c r="C10" s="3" t="s">
        <v>11</v>
      </c>
      <c r="D10" s="3" t="s">
        <v>35</v>
      </c>
      <c r="E10" s="3" t="s">
        <v>35</v>
      </c>
      <c r="F10" s="3" t="s">
        <v>35</v>
      </c>
      <c r="G10" s="3" t="s">
        <v>12</v>
      </c>
      <c r="H10" s="1" t="s">
        <v>13</v>
      </c>
      <c r="I10" s="1"/>
      <c r="J10" s="5">
        <f t="shared" ca="1" si="0"/>
        <v>46084</v>
      </c>
      <c r="K10" s="1"/>
      <c r="L10" s="2"/>
      <c r="M10" s="1"/>
      <c r="N10" s="1"/>
    </row>
    <row r="11" spans="1:14" ht="15" customHeight="1" x14ac:dyDescent="0.35">
      <c r="A11" s="3" t="s">
        <v>36</v>
      </c>
      <c r="B11" s="3" t="s">
        <v>26</v>
      </c>
      <c r="C11" s="3" t="s">
        <v>17</v>
      </c>
      <c r="D11" s="3" t="s">
        <v>161</v>
      </c>
      <c r="E11" s="3" t="s">
        <v>161</v>
      </c>
      <c r="F11" s="3" t="s">
        <v>161</v>
      </c>
      <c r="G11" s="3" t="s">
        <v>161</v>
      </c>
      <c r="I11" s="1">
        <v>40</v>
      </c>
      <c r="J11" s="5">
        <f t="shared" ref="J11:J13" ca="1" si="1">WORKDAY(TODAY(),I11/8,1)</f>
        <v>46091</v>
      </c>
      <c r="K11" s="1" t="s">
        <v>198</v>
      </c>
    </row>
    <row r="12" spans="1:14" ht="15" customHeight="1" x14ac:dyDescent="0.35">
      <c r="A12" s="3" t="s">
        <v>37</v>
      </c>
      <c r="B12" s="1" t="s">
        <v>10</v>
      </c>
      <c r="C12" s="3" t="s">
        <v>29</v>
      </c>
      <c r="D12" s="1" t="s">
        <v>38</v>
      </c>
      <c r="E12" s="1" t="s">
        <v>38</v>
      </c>
      <c r="F12" s="1" t="s">
        <v>38</v>
      </c>
      <c r="G12" s="1" t="s">
        <v>38</v>
      </c>
      <c r="H12" s="1"/>
      <c r="I12" s="1">
        <v>520</v>
      </c>
      <c r="J12" s="5">
        <f ca="1">WORKDAY(TODAY(),I12/8,1)</f>
        <v>46175</v>
      </c>
      <c r="K12" s="1"/>
      <c r="L12" s="2"/>
      <c r="M12" s="1"/>
      <c r="N12" s="1"/>
    </row>
    <row r="13" spans="1:14" ht="15" customHeight="1" x14ac:dyDescent="0.35">
      <c r="A13" s="1" t="s">
        <v>39</v>
      </c>
      <c r="B13" s="1" t="s">
        <v>20</v>
      </c>
      <c r="C13" s="3" t="s">
        <v>21</v>
      </c>
      <c r="D13" s="1" t="s">
        <v>40</v>
      </c>
      <c r="E13" s="1" t="s">
        <v>40</v>
      </c>
      <c r="F13" s="1" t="s">
        <v>40</v>
      </c>
      <c r="G13" s="1" t="s">
        <v>40</v>
      </c>
      <c r="H13" s="1"/>
      <c r="I13" s="1">
        <v>264</v>
      </c>
      <c r="J13" s="5">
        <f t="shared" ca="1" si="1"/>
        <v>46129</v>
      </c>
      <c r="K13" s="1"/>
      <c r="L13" s="2"/>
      <c r="M13" s="1"/>
      <c r="N13" s="1"/>
    </row>
    <row r="14" spans="1:14" ht="15" customHeight="1" x14ac:dyDescent="0.35">
      <c r="A14" t="s">
        <v>41</v>
      </c>
      <c r="B14" s="1" t="s">
        <v>26</v>
      </c>
      <c r="C14" s="3" t="s">
        <v>42</v>
      </c>
      <c r="D14" s="1" t="s">
        <v>43</v>
      </c>
      <c r="E14" s="1" t="s">
        <v>43</v>
      </c>
      <c r="F14" s="1" t="s">
        <v>43</v>
      </c>
      <c r="G14" s="1" t="s">
        <v>43</v>
      </c>
      <c r="I14" s="1">
        <v>140</v>
      </c>
      <c r="J14" s="5">
        <f ca="1">WORKDAY(TODAY(),I14/8,1)</f>
        <v>46107</v>
      </c>
      <c r="K14" s="1" t="s">
        <v>44</v>
      </c>
      <c r="L14" s="2"/>
      <c r="M14" s="1"/>
      <c r="N14" s="1"/>
    </row>
    <row r="15" spans="1:14" ht="15" customHeight="1" x14ac:dyDescent="0.35">
      <c r="A15" s="3" t="s">
        <v>45</v>
      </c>
      <c r="B15" s="3" t="s">
        <v>20</v>
      </c>
      <c r="C15" s="3" t="s">
        <v>17</v>
      </c>
      <c r="D15" s="3" t="s">
        <v>46</v>
      </c>
      <c r="E15" s="3" t="s">
        <v>46</v>
      </c>
      <c r="F15" s="3" t="s">
        <v>46</v>
      </c>
      <c r="G15" s="3" t="s">
        <v>46</v>
      </c>
      <c r="H15" s="1"/>
      <c r="I15" s="1">
        <v>206</v>
      </c>
      <c r="J15" s="5">
        <f ca="1">WORKDAY(TODAY(),I15/8,1)</f>
        <v>46119</v>
      </c>
      <c r="K15" s="1" t="s">
        <v>47</v>
      </c>
    </row>
    <row r="16" spans="1:14" ht="15" customHeight="1" x14ac:dyDescent="0.35">
      <c r="A16" s="3" t="s">
        <v>48</v>
      </c>
      <c r="B16" s="3" t="s">
        <v>20</v>
      </c>
      <c r="C16" s="3" t="s">
        <v>11</v>
      </c>
      <c r="D16" s="3" t="s">
        <v>49</v>
      </c>
      <c r="E16" s="3" t="s">
        <v>49</v>
      </c>
      <c r="F16" s="3" t="s">
        <v>49</v>
      </c>
      <c r="G16" s="3" t="s">
        <v>49</v>
      </c>
      <c r="H16" s="1"/>
      <c r="I16" s="1">
        <v>216</v>
      </c>
      <c r="J16" s="5">
        <f ca="1">WORKDAY(TODAY(),I16/8,1)</f>
        <v>46121</v>
      </c>
      <c r="K16" s="1"/>
      <c r="L16" s="2"/>
      <c r="M16" s="1"/>
      <c r="N16" s="1"/>
    </row>
    <row r="17" spans="1:14" ht="15" customHeight="1" x14ac:dyDescent="0.35">
      <c r="A17" s="3" t="s">
        <v>50</v>
      </c>
      <c r="B17" s="3" t="s">
        <v>20</v>
      </c>
      <c r="C17" s="3" t="s">
        <v>51</v>
      </c>
      <c r="D17" s="3" t="s">
        <v>52</v>
      </c>
      <c r="E17" s="3" t="s">
        <v>52</v>
      </c>
      <c r="F17" s="3" t="s">
        <v>52</v>
      </c>
      <c r="G17" s="3" t="s">
        <v>52</v>
      </c>
      <c r="H17" s="1"/>
      <c r="I17" s="1">
        <v>1217</v>
      </c>
      <c r="J17" s="7">
        <f ca="1">WORKDAY(TODAY(),I17/8,1)</f>
        <v>46296</v>
      </c>
      <c r="K17" s="1"/>
      <c r="L17" s="2"/>
      <c r="M17" s="1"/>
      <c r="N17" s="1"/>
    </row>
    <row r="18" spans="1:14" ht="15" customHeight="1" x14ac:dyDescent="0.35">
      <c r="A18" s="3" t="s">
        <v>53</v>
      </c>
      <c r="B18" s="3" t="s">
        <v>20</v>
      </c>
      <c r="C18" s="3" t="s">
        <v>11</v>
      </c>
      <c r="D18" s="3" t="s">
        <v>237</v>
      </c>
      <c r="E18" s="3" t="s">
        <v>237</v>
      </c>
      <c r="F18" s="3" t="s">
        <v>237</v>
      </c>
      <c r="G18" s="3" t="s">
        <v>237</v>
      </c>
      <c r="H18" s="1"/>
      <c r="I18" s="1">
        <v>96</v>
      </c>
      <c r="J18" s="5">
        <f ca="1">WORKDAY(TODAY(),I18/8,1)</f>
        <v>46100</v>
      </c>
      <c r="K18" s="1" t="s">
        <v>230</v>
      </c>
      <c r="L18" s="6"/>
      <c r="M18" s="1"/>
      <c r="N18" s="1"/>
    </row>
    <row r="19" spans="1:14" ht="14.5" customHeight="1" x14ac:dyDescent="0.35">
      <c r="A19" s="3" t="s">
        <v>54</v>
      </c>
      <c r="B19" s="3" t="s">
        <v>16</v>
      </c>
      <c r="C19" s="3" t="s">
        <v>21</v>
      </c>
      <c r="D19" s="3" t="s">
        <v>55</v>
      </c>
      <c r="E19" s="3" t="s">
        <v>55</v>
      </c>
      <c r="F19" s="3" t="s">
        <v>55</v>
      </c>
      <c r="G19" s="3" t="s">
        <v>55</v>
      </c>
      <c r="H19" s="1"/>
      <c r="I19" s="1">
        <v>227</v>
      </c>
      <c r="J19" s="7">
        <f ca="1">WORKDAY(TODAY(),I19/4,1)</f>
        <v>46162</v>
      </c>
      <c r="K19" s="1"/>
      <c r="L19" s="2"/>
      <c r="M19" s="1"/>
      <c r="N19" s="1"/>
    </row>
    <row r="20" spans="1:14" ht="15" customHeight="1" x14ac:dyDescent="0.35">
      <c r="A20" s="3" t="s">
        <v>56</v>
      </c>
      <c r="B20" s="3" t="s">
        <v>26</v>
      </c>
      <c r="C20" s="3" t="s">
        <v>11</v>
      </c>
      <c r="D20" s="3" t="s">
        <v>57</v>
      </c>
      <c r="E20" s="3" t="s">
        <v>57</v>
      </c>
      <c r="F20" s="3" t="s">
        <v>57</v>
      </c>
      <c r="G20" s="3" t="s">
        <v>57</v>
      </c>
      <c r="H20" s="1"/>
      <c r="I20" s="1">
        <v>230</v>
      </c>
      <c r="J20" s="7">
        <f ca="1">WORKDAY(TODAY(),I20/8,1)</f>
        <v>46122</v>
      </c>
      <c r="K20" s="1" t="s">
        <v>58</v>
      </c>
      <c r="L20" s="2"/>
      <c r="M20" s="1"/>
      <c r="N20" s="1"/>
    </row>
    <row r="21" spans="1:14" ht="14.5" customHeight="1" x14ac:dyDescent="0.35">
      <c r="A21" s="3" t="s">
        <v>59</v>
      </c>
      <c r="B21" s="3" t="s">
        <v>16</v>
      </c>
      <c r="C21" s="3" t="s">
        <v>21</v>
      </c>
      <c r="D21" s="3" t="s">
        <v>199</v>
      </c>
      <c r="E21" s="3" t="s">
        <v>199</v>
      </c>
      <c r="F21" s="3" t="s">
        <v>199</v>
      </c>
      <c r="G21" s="3" t="s">
        <v>199</v>
      </c>
      <c r="H21" s="1"/>
      <c r="I21" s="1">
        <v>125</v>
      </c>
      <c r="J21" s="5">
        <f ca="1">WORKDAY(TODAY(),I2180,1)</f>
        <v>46084</v>
      </c>
      <c r="K21" s="6"/>
      <c r="L21" s="8"/>
      <c r="M21" s="1"/>
    </row>
    <row r="22" spans="1:14" ht="15" customHeight="1" x14ac:dyDescent="0.35">
      <c r="A22" s="1" t="s">
        <v>60</v>
      </c>
      <c r="B22" s="1" t="s">
        <v>61</v>
      </c>
      <c r="C22" s="3" t="s">
        <v>21</v>
      </c>
      <c r="D22" s="3" t="s">
        <v>62</v>
      </c>
      <c r="E22" s="3" t="s">
        <v>62</v>
      </c>
      <c r="F22" s="3" t="s">
        <v>62</v>
      </c>
      <c r="G22" s="3" t="s">
        <v>62</v>
      </c>
      <c r="H22" s="1"/>
      <c r="I22" s="1">
        <v>75</v>
      </c>
      <c r="J22" s="5">
        <f ca="1">WORKDAY(TODAY(),I22/4,1)</f>
        <v>46108</v>
      </c>
      <c r="K22" s="1"/>
      <c r="L22" s="2"/>
      <c r="M22" s="1"/>
      <c r="N22" s="1"/>
    </row>
    <row r="23" spans="1:14" ht="15" customHeight="1" x14ac:dyDescent="0.35">
      <c r="A23" s="3" t="s">
        <v>63</v>
      </c>
      <c r="B23" s="3" t="s">
        <v>20</v>
      </c>
      <c r="C23" s="3" t="s">
        <v>21</v>
      </c>
      <c r="D23" s="3" t="s">
        <v>40</v>
      </c>
      <c r="E23" s="3" t="s">
        <v>40</v>
      </c>
      <c r="F23" s="3" t="s">
        <v>40</v>
      </c>
      <c r="G23" s="3" t="s">
        <v>40</v>
      </c>
      <c r="H23" s="1"/>
      <c r="I23" s="1">
        <v>192</v>
      </c>
      <c r="J23" s="5">
        <f ca="1">WORKDAY(TODAY(),I23/8,1)</f>
        <v>46118</v>
      </c>
      <c r="K23" s="1"/>
      <c r="L23" s="2"/>
      <c r="M23" s="1"/>
      <c r="N23" s="1" t="s">
        <v>64</v>
      </c>
    </row>
    <row r="24" spans="1:14" ht="11.5" x14ac:dyDescent="0.35">
      <c r="A24" s="1" t="s">
        <v>65</v>
      </c>
      <c r="B24" s="1" t="s">
        <v>20</v>
      </c>
      <c r="C24" s="3" t="s">
        <v>21</v>
      </c>
      <c r="D24" s="1" t="s">
        <v>66</v>
      </c>
      <c r="E24" s="1" t="s">
        <v>66</v>
      </c>
      <c r="F24" s="1" t="s">
        <v>66</v>
      </c>
      <c r="G24" s="1" t="s">
        <v>66</v>
      </c>
      <c r="H24" s="1"/>
      <c r="I24" s="1">
        <v>40</v>
      </c>
      <c r="J24" s="5">
        <f ca="1">WORKDAY(TODAY(),I24/8,1)</f>
        <v>46091</v>
      </c>
      <c r="K24" s="1" t="s">
        <v>67</v>
      </c>
      <c r="L24" s="2"/>
      <c r="M24" s="1"/>
      <c r="N24" s="1"/>
    </row>
    <row r="25" spans="1:14" ht="11.5" x14ac:dyDescent="0.35">
      <c r="A25" s="3" t="s">
        <v>68</v>
      </c>
      <c r="B25" s="1" t="s">
        <v>20</v>
      </c>
      <c r="C25" s="3" t="s">
        <v>29</v>
      </c>
      <c r="D25" s="3" t="s">
        <v>161</v>
      </c>
      <c r="E25" s="3" t="s">
        <v>161</v>
      </c>
      <c r="F25" s="3" t="s">
        <v>161</v>
      </c>
      <c r="G25" s="3" t="s">
        <v>161</v>
      </c>
      <c r="H25" s="1"/>
      <c r="I25" s="1">
        <v>80</v>
      </c>
      <c r="J25" s="5">
        <f ca="1">WORKDAY(TODAY(),I25/8,1)</f>
        <v>46098</v>
      </c>
      <c r="K25" s="1"/>
      <c r="L25" s="2"/>
      <c r="M25" s="1"/>
      <c r="N25" s="1"/>
    </row>
    <row r="26" spans="1:14" ht="14.5" customHeight="1" x14ac:dyDescent="0.35">
      <c r="A26" s="3" t="s">
        <v>70</v>
      </c>
      <c r="B26" s="3" t="s">
        <v>10</v>
      </c>
      <c r="C26" s="3" t="s">
        <v>21</v>
      </c>
      <c r="D26" s="3" t="s">
        <v>71</v>
      </c>
      <c r="E26" s="3" t="s">
        <v>71</v>
      </c>
      <c r="F26" s="3" t="s">
        <v>71</v>
      </c>
      <c r="G26" s="3" t="s">
        <v>71</v>
      </c>
      <c r="H26" s="1"/>
      <c r="I26" s="1">
        <v>480</v>
      </c>
      <c r="J26" s="5">
        <v>46087</v>
      </c>
      <c r="K26" s="1"/>
      <c r="L26" s="2"/>
      <c r="M26" s="1"/>
      <c r="N26" s="1"/>
    </row>
    <row r="27" spans="1:14" ht="14.5" customHeight="1" x14ac:dyDescent="0.35">
      <c r="A27" s="3" t="s">
        <v>72</v>
      </c>
      <c r="B27" s="3" t="s">
        <v>20</v>
      </c>
      <c r="C27" s="3" t="s">
        <v>29</v>
      </c>
      <c r="D27" s="3" t="s">
        <v>239</v>
      </c>
      <c r="E27" s="3" t="s">
        <v>73</v>
      </c>
      <c r="F27" s="3" t="s">
        <v>73</v>
      </c>
      <c r="G27" s="3" t="s">
        <v>73</v>
      </c>
      <c r="H27" s="1"/>
      <c r="I27" s="1">
        <v>92</v>
      </c>
      <c r="J27" s="5">
        <f ca="1">WORKDAY(TODAY(),I27/8,1)</f>
        <v>46099</v>
      </c>
      <c r="K27" s="1"/>
      <c r="L27" s="6"/>
      <c r="M27" s="1"/>
      <c r="N27" s="1"/>
    </row>
    <row r="28" spans="1:14" ht="11.5" x14ac:dyDescent="0.35">
      <c r="A28" s="3" t="s">
        <v>74</v>
      </c>
      <c r="B28" s="3" t="s">
        <v>20</v>
      </c>
      <c r="C28" s="3" t="s">
        <v>21</v>
      </c>
      <c r="D28" s="3" t="s">
        <v>75</v>
      </c>
      <c r="E28" s="3" t="s">
        <v>12</v>
      </c>
      <c r="F28" s="3" t="s">
        <v>210</v>
      </c>
      <c r="G28" s="3" t="s">
        <v>210</v>
      </c>
      <c r="H28" s="1"/>
      <c r="I28" s="1"/>
      <c r="J28" s="5">
        <v>46087</v>
      </c>
      <c r="K28" s="1" t="s">
        <v>241</v>
      </c>
      <c r="L28" s="9"/>
      <c r="M28" s="1"/>
      <c r="N28" s="1"/>
    </row>
    <row r="29" spans="1:14" ht="14.5" customHeight="1" x14ac:dyDescent="0.35">
      <c r="A29" s="3" t="s">
        <v>76</v>
      </c>
      <c r="B29" s="3" t="s">
        <v>10</v>
      </c>
      <c r="C29" s="3" t="s">
        <v>51</v>
      </c>
      <c r="D29" s="3" t="s">
        <v>77</v>
      </c>
      <c r="E29" s="3" t="s">
        <v>77</v>
      </c>
      <c r="F29" s="3" t="s">
        <v>77</v>
      </c>
      <c r="G29" s="3" t="s">
        <v>77</v>
      </c>
      <c r="H29" s="1"/>
      <c r="I29" s="1">
        <v>24</v>
      </c>
      <c r="J29" s="5">
        <f ca="1">WORKDAY(TODAY(),I29/8,1)</f>
        <v>46087</v>
      </c>
      <c r="K29" s="1" t="s">
        <v>78</v>
      </c>
      <c r="L29" s="2"/>
      <c r="M29" s="1" t="s">
        <v>79</v>
      </c>
    </row>
    <row r="30" spans="1:14" ht="14.5" customHeight="1" x14ac:dyDescent="0.35">
      <c r="A30" s="3" t="s">
        <v>80</v>
      </c>
      <c r="B30" s="3" t="s">
        <v>81</v>
      </c>
      <c r="C30" s="3" t="s">
        <v>29</v>
      </c>
      <c r="D30" s="3" t="s">
        <v>82</v>
      </c>
      <c r="E30" s="3" t="s">
        <v>82</v>
      </c>
      <c r="F30" s="3" t="s">
        <v>82</v>
      </c>
      <c r="G30" s="3" t="s">
        <v>82</v>
      </c>
      <c r="H30" s="1"/>
      <c r="I30" s="1">
        <v>219</v>
      </c>
      <c r="J30" s="5">
        <f ca="1">WORKDAY(TODAY(),I30/8,1)</f>
        <v>46121</v>
      </c>
      <c r="K30" s="1"/>
    </row>
    <row r="31" spans="1:14" ht="14.5" customHeight="1" x14ac:dyDescent="0.35">
      <c r="A31" s="1" t="s">
        <v>83</v>
      </c>
      <c r="B31" s="1" t="s">
        <v>81</v>
      </c>
      <c r="C31" s="3" t="s">
        <v>29</v>
      </c>
      <c r="D31" s="1" t="s">
        <v>210</v>
      </c>
      <c r="E31" s="1" t="s">
        <v>210</v>
      </c>
      <c r="F31" s="1" t="s">
        <v>210</v>
      </c>
      <c r="G31" s="1" t="s">
        <v>210</v>
      </c>
      <c r="H31" s="1"/>
      <c r="I31" s="1"/>
      <c r="J31" s="5">
        <f ca="1">WORKDAY(TODAY(),I31/4,1)</f>
        <v>46084</v>
      </c>
      <c r="K31" s="1" t="s">
        <v>209</v>
      </c>
      <c r="L31" s="2"/>
      <c r="M31" s="1"/>
      <c r="N31" s="1"/>
    </row>
    <row r="32" spans="1:14" ht="14.5" customHeight="1" x14ac:dyDescent="0.35">
      <c r="A32" s="3" t="s">
        <v>253</v>
      </c>
      <c r="B32" s="3" t="s">
        <v>20</v>
      </c>
      <c r="C32" s="3" t="s">
        <v>29</v>
      </c>
      <c r="D32" s="3" t="s">
        <v>46</v>
      </c>
      <c r="E32" s="3" t="s">
        <v>46</v>
      </c>
      <c r="F32" s="3" t="s">
        <v>46</v>
      </c>
      <c r="G32" s="3" t="s">
        <v>46</v>
      </c>
      <c r="H32" s="1"/>
      <c r="I32" s="1">
        <v>198</v>
      </c>
      <c r="J32" s="5">
        <f ca="1">WORKDAY(TODAY(),I32/8,1)</f>
        <v>46118</v>
      </c>
      <c r="K32" s="1" t="s">
        <v>84</v>
      </c>
    </row>
    <row r="33" spans="1:14" ht="16" customHeight="1" x14ac:dyDescent="0.35">
      <c r="A33" s="3" t="s">
        <v>85</v>
      </c>
      <c r="B33" s="3" t="s">
        <v>81</v>
      </c>
      <c r="C33" s="3" t="s">
        <v>17</v>
      </c>
      <c r="D33" s="3" t="s">
        <v>86</v>
      </c>
      <c r="E33" s="3" t="s">
        <v>86</v>
      </c>
      <c r="F33" s="3" t="s">
        <v>86</v>
      </c>
      <c r="G33" s="3" t="s">
        <v>86</v>
      </c>
      <c r="H33" s="10" t="s">
        <v>87</v>
      </c>
      <c r="I33" s="1"/>
      <c r="J33" s="5">
        <f ca="1">WORKDAY(TODAY(),I33/4,1)</f>
        <v>46084</v>
      </c>
      <c r="K33" s="1"/>
      <c r="L33" s="9"/>
      <c r="M33" s="1"/>
      <c r="N33" s="1"/>
    </row>
    <row r="34" spans="1:14" ht="16" customHeight="1" x14ac:dyDescent="0.35">
      <c r="A34" s="3" t="s">
        <v>88</v>
      </c>
      <c r="B34" s="3" t="s">
        <v>20</v>
      </c>
      <c r="C34" s="3" t="s">
        <v>29</v>
      </c>
      <c r="D34" s="3" t="s">
        <v>24</v>
      </c>
      <c r="E34" s="3" t="s">
        <v>89</v>
      </c>
      <c r="F34" s="3" t="s">
        <v>89</v>
      </c>
      <c r="G34" s="3" t="s">
        <v>89</v>
      </c>
      <c r="H34" s="1"/>
      <c r="I34" s="1">
        <v>511</v>
      </c>
      <c r="J34" s="7">
        <f ca="1">WORKDAY(TODAY(),I34/8,1)</f>
        <v>46171</v>
      </c>
      <c r="K34" s="11" t="s">
        <v>90</v>
      </c>
      <c r="L34" s="1"/>
    </row>
    <row r="35" spans="1:14" ht="15" customHeight="1" x14ac:dyDescent="0.35">
      <c r="A35" s="3" t="s">
        <v>91</v>
      </c>
      <c r="B35" s="3" t="s">
        <v>20</v>
      </c>
      <c r="C35" s="3" t="s">
        <v>21</v>
      </c>
      <c r="D35" s="3" t="s">
        <v>71</v>
      </c>
      <c r="E35" s="3" t="s">
        <v>71</v>
      </c>
      <c r="F35" s="3" t="s">
        <v>71</v>
      </c>
      <c r="G35" s="3" t="s">
        <v>71</v>
      </c>
      <c r="H35" s="5"/>
      <c r="I35" s="1">
        <v>608</v>
      </c>
      <c r="J35" s="7">
        <f ca="1">WORKDAY(TODAY(),I35/4,1)</f>
        <v>46296</v>
      </c>
      <c r="K35" s="9"/>
      <c r="L35" s="1"/>
      <c r="M35" s="1"/>
    </row>
    <row r="36" spans="1:14" ht="15" customHeight="1" x14ac:dyDescent="0.35">
      <c r="A36" s="3" t="s">
        <v>92</v>
      </c>
      <c r="B36" s="3" t="s">
        <v>16</v>
      </c>
      <c r="C36" s="3" t="s">
        <v>21</v>
      </c>
      <c r="D36" s="3" t="s">
        <v>93</v>
      </c>
      <c r="E36" s="3" t="s">
        <v>93</v>
      </c>
      <c r="F36" s="3" t="s">
        <v>93</v>
      </c>
      <c r="G36" s="3" t="s">
        <v>93</v>
      </c>
      <c r="H36" s="10" t="s">
        <v>94</v>
      </c>
      <c r="I36" s="1">
        <v>256</v>
      </c>
      <c r="J36" s="7">
        <f ca="1">WORKDAY(TODAY(),I36/4,1)</f>
        <v>46174</v>
      </c>
      <c r="K36" s="1"/>
      <c r="L36" s="2"/>
      <c r="M36" s="1"/>
      <c r="N36" s="1"/>
    </row>
    <row r="37" spans="1:14" ht="15" customHeight="1" x14ac:dyDescent="0.35">
      <c r="A37" t="s">
        <v>256</v>
      </c>
      <c r="B37" s="3" t="s">
        <v>20</v>
      </c>
      <c r="C37" s="3" t="s">
        <v>11</v>
      </c>
      <c r="D37" s="3" t="s">
        <v>95</v>
      </c>
      <c r="E37" s="3" t="s">
        <v>95</v>
      </c>
      <c r="F37" s="3" t="s">
        <v>95</v>
      </c>
      <c r="G37" s="3" t="s">
        <v>95</v>
      </c>
      <c r="H37" s="5"/>
      <c r="I37" s="1">
        <v>576</v>
      </c>
      <c r="J37" s="5">
        <f t="shared" ref="J37:J43" ca="1" si="2">WORKDAY(TODAY(),I37/8,1)</f>
        <v>46184</v>
      </c>
      <c r="K37" s="1"/>
      <c r="L37" s="1"/>
    </row>
    <row r="38" spans="1:14" ht="15" customHeight="1" x14ac:dyDescent="0.35">
      <c r="A38" s="3" t="s">
        <v>96</v>
      </c>
      <c r="B38" s="3" t="s">
        <v>20</v>
      </c>
      <c r="C38" s="3" t="s">
        <v>21</v>
      </c>
      <c r="D38" s="3" t="s">
        <v>24</v>
      </c>
      <c r="E38" s="3" t="s">
        <v>24</v>
      </c>
      <c r="F38" s="3" t="s">
        <v>24</v>
      </c>
      <c r="G38" s="3" t="s">
        <v>24</v>
      </c>
      <c r="H38" s="1"/>
      <c r="I38" s="1"/>
      <c r="J38" s="5">
        <f t="shared" ca="1" si="2"/>
        <v>46084</v>
      </c>
      <c r="K38" s="1"/>
      <c r="L38" s="1"/>
    </row>
    <row r="39" spans="1:14" ht="15" customHeight="1" x14ac:dyDescent="0.35">
      <c r="A39" s="3" t="s">
        <v>97</v>
      </c>
      <c r="B39" s="3" t="s">
        <v>20</v>
      </c>
      <c r="C39" s="3" t="s">
        <v>11</v>
      </c>
      <c r="D39" s="3" t="s">
        <v>71</v>
      </c>
      <c r="E39" s="3" t="s">
        <v>71</v>
      </c>
      <c r="F39" s="3" t="s">
        <v>71</v>
      </c>
      <c r="G39" s="3" t="s">
        <v>71</v>
      </c>
      <c r="H39" s="5"/>
      <c r="I39" s="1">
        <v>1315</v>
      </c>
      <c r="J39" s="5">
        <f t="shared" ca="1" si="2"/>
        <v>46314</v>
      </c>
      <c r="K39" s="1"/>
      <c r="L39" s="1"/>
    </row>
    <row r="40" spans="1:14" ht="15" customHeight="1" x14ac:dyDescent="0.35">
      <c r="A40" s="3" t="s">
        <v>98</v>
      </c>
      <c r="B40" s="3" t="s">
        <v>20</v>
      </c>
      <c r="C40" s="3" t="s">
        <v>11</v>
      </c>
      <c r="D40" s="3" t="s">
        <v>40</v>
      </c>
      <c r="E40" s="3" t="s">
        <v>40</v>
      </c>
      <c r="F40" s="3" t="s">
        <v>40</v>
      </c>
      <c r="G40" s="3" t="s">
        <v>40</v>
      </c>
      <c r="H40" s="1"/>
      <c r="I40" s="1">
        <v>204</v>
      </c>
      <c r="J40" s="5">
        <f t="shared" ca="1" si="2"/>
        <v>46119</v>
      </c>
      <c r="K40" s="1"/>
      <c r="L40" s="6"/>
      <c r="M40" s="1"/>
      <c r="N40" s="1"/>
    </row>
    <row r="41" spans="1:14" ht="15" customHeight="1" x14ac:dyDescent="0.35">
      <c r="A41" s="3" t="s">
        <v>99</v>
      </c>
      <c r="B41" s="3" t="s">
        <v>20</v>
      </c>
      <c r="C41" s="3" t="s">
        <v>17</v>
      </c>
      <c r="D41" s="3" t="s">
        <v>46</v>
      </c>
      <c r="E41" s="3" t="s">
        <v>46</v>
      </c>
      <c r="F41" s="3" t="s">
        <v>46</v>
      </c>
      <c r="G41" s="3" t="s">
        <v>46</v>
      </c>
      <c r="H41" s="5"/>
      <c r="I41" s="1">
        <v>332</v>
      </c>
      <c r="J41" s="7">
        <f t="shared" ca="1" si="2"/>
        <v>46141</v>
      </c>
      <c r="K41" s="1"/>
      <c r="L41" s="1"/>
    </row>
    <row r="42" spans="1:14" ht="15" customHeight="1" x14ac:dyDescent="0.35">
      <c r="A42" s="3" t="s">
        <v>254</v>
      </c>
      <c r="B42" s="3" t="s">
        <v>20</v>
      </c>
      <c r="C42" s="3" t="s">
        <v>21</v>
      </c>
      <c r="D42" s="3" t="s">
        <v>46</v>
      </c>
      <c r="E42" s="3" t="s">
        <v>46</v>
      </c>
      <c r="F42" s="3" t="s">
        <v>46</v>
      </c>
      <c r="G42" s="3" t="s">
        <v>46</v>
      </c>
      <c r="H42" s="1"/>
      <c r="I42" s="1">
        <v>136</v>
      </c>
      <c r="J42" s="5">
        <f t="shared" ca="1" si="2"/>
        <v>46107</v>
      </c>
      <c r="K42" s="1" t="s">
        <v>100</v>
      </c>
      <c r="L42" s="2"/>
      <c r="M42" s="1"/>
      <c r="N42" s="1"/>
    </row>
    <row r="43" spans="1:14" ht="15" customHeight="1" x14ac:dyDescent="0.35">
      <c r="A43" s="3" t="s">
        <v>101</v>
      </c>
      <c r="B43" s="3" t="s">
        <v>10</v>
      </c>
      <c r="C43" s="3" t="s">
        <v>17</v>
      </c>
      <c r="D43" s="3" t="s">
        <v>210</v>
      </c>
      <c r="E43" s="3" t="s">
        <v>210</v>
      </c>
      <c r="F43" s="3" t="s">
        <v>210</v>
      </c>
      <c r="G43" s="3" t="s">
        <v>210</v>
      </c>
      <c r="H43" s="1"/>
      <c r="I43" s="1"/>
      <c r="J43" s="7">
        <f t="shared" ca="1" si="2"/>
        <v>46084</v>
      </c>
      <c r="K43" s="1" t="s">
        <v>209</v>
      </c>
      <c r="L43" s="2"/>
      <c r="M43" s="1" t="s">
        <v>102</v>
      </c>
      <c r="N43" s="1"/>
    </row>
    <row r="44" spans="1:14" ht="15" customHeight="1" x14ac:dyDescent="0.35">
      <c r="A44" s="3" t="s">
        <v>105</v>
      </c>
      <c r="B44" s="3" t="s">
        <v>10</v>
      </c>
      <c r="C44" s="3" t="s">
        <v>17</v>
      </c>
      <c r="D44" s="3" t="s">
        <v>106</v>
      </c>
      <c r="E44" s="3" t="s">
        <v>106</v>
      </c>
      <c r="F44" s="3" t="s">
        <v>106</v>
      </c>
      <c r="G44" s="3" t="s">
        <v>106</v>
      </c>
      <c r="H44" s="1"/>
      <c r="I44" s="1">
        <v>64</v>
      </c>
      <c r="J44" s="5">
        <v>46169</v>
      </c>
      <c r="K44" s="1"/>
      <c r="L44" s="2"/>
      <c r="M44" s="1"/>
      <c r="N44" s="1"/>
    </row>
    <row r="45" spans="1:14" ht="11.5" x14ac:dyDescent="0.35">
      <c r="A45" s="3" t="s">
        <v>108</v>
      </c>
      <c r="B45" s="3" t="s">
        <v>20</v>
      </c>
      <c r="C45" s="3" t="s">
        <v>21</v>
      </c>
      <c r="D45" s="3" t="s">
        <v>104</v>
      </c>
      <c r="E45" s="3" t="s">
        <v>104</v>
      </c>
      <c r="F45" s="3" t="s">
        <v>104</v>
      </c>
      <c r="G45" s="3" t="s">
        <v>104</v>
      </c>
      <c r="H45" s="9"/>
      <c r="I45" s="1">
        <v>90</v>
      </c>
      <c r="J45" s="5">
        <f t="shared" ref="J45:J47" ca="1" si="3">WORKDAY(TODAY(),I45/8,1)</f>
        <v>46099</v>
      </c>
      <c r="K45" s="1"/>
      <c r="L45" s="1"/>
    </row>
    <row r="46" spans="1:14" ht="15" customHeight="1" x14ac:dyDescent="0.35">
      <c r="A46" s="1" t="s">
        <v>109</v>
      </c>
      <c r="B46" s="1" t="s">
        <v>20</v>
      </c>
      <c r="C46" s="3" t="s">
        <v>17</v>
      </c>
      <c r="D46" s="3" t="s">
        <v>27</v>
      </c>
      <c r="E46" s="3" t="s">
        <v>27</v>
      </c>
      <c r="F46" s="3" t="s">
        <v>27</v>
      </c>
      <c r="G46" s="3" t="s">
        <v>27</v>
      </c>
      <c r="H46" s="1"/>
      <c r="I46" s="1">
        <v>123</v>
      </c>
      <c r="J46" s="5">
        <f t="shared" ca="1" si="3"/>
        <v>46105</v>
      </c>
      <c r="K46" s="1" t="s">
        <v>110</v>
      </c>
      <c r="L46" s="2"/>
      <c r="M46" s="1"/>
      <c r="N46" s="1"/>
    </row>
    <row r="47" spans="1:14" ht="15" customHeight="1" x14ac:dyDescent="0.35">
      <c r="A47" s="3" t="s">
        <v>112</v>
      </c>
      <c r="B47" s="3" t="s">
        <v>111</v>
      </c>
      <c r="C47" s="3" t="s">
        <v>11</v>
      </c>
      <c r="D47" s="3" t="s">
        <v>46</v>
      </c>
      <c r="E47" s="3" t="s">
        <v>46</v>
      </c>
      <c r="F47" s="3" t="s">
        <v>46</v>
      </c>
      <c r="G47" s="3" t="s">
        <v>46</v>
      </c>
      <c r="H47" s="1"/>
      <c r="I47" s="1">
        <v>216</v>
      </c>
      <c r="J47" s="5">
        <f t="shared" ca="1" si="3"/>
        <v>46121</v>
      </c>
      <c r="K47" s="3" t="s">
        <v>113</v>
      </c>
      <c r="L47" s="2"/>
      <c r="M47" s="1"/>
      <c r="N47" s="1"/>
    </row>
    <row r="48" spans="1:14" ht="15" customHeight="1" x14ac:dyDescent="0.35">
      <c r="A48" s="1" t="s">
        <v>114</v>
      </c>
      <c r="B48" s="1" t="s">
        <v>16</v>
      </c>
      <c r="C48" s="3" t="s">
        <v>21</v>
      </c>
      <c r="D48" s="3" t="s">
        <v>115</v>
      </c>
      <c r="E48" s="3" t="s">
        <v>115</v>
      </c>
      <c r="F48" s="3" t="s">
        <v>115</v>
      </c>
      <c r="G48" s="3" t="s">
        <v>115</v>
      </c>
      <c r="H48" s="1"/>
      <c r="I48" s="1"/>
      <c r="J48" s="5"/>
      <c r="K48" s="1"/>
      <c r="L48" s="2"/>
      <c r="M48" s="1"/>
      <c r="N48" s="1"/>
    </row>
    <row r="49" spans="1:14" ht="15" customHeight="1" x14ac:dyDescent="0.35">
      <c r="A49" s="1" t="s">
        <v>116</v>
      </c>
      <c r="B49" s="1" t="s">
        <v>16</v>
      </c>
      <c r="C49" s="3" t="s">
        <v>29</v>
      </c>
      <c r="D49" s="1" t="s">
        <v>46</v>
      </c>
      <c r="E49" s="1" t="s">
        <v>46</v>
      </c>
      <c r="F49" s="1" t="s">
        <v>46</v>
      </c>
      <c r="G49" s="1" t="s">
        <v>46</v>
      </c>
      <c r="H49" s="1"/>
      <c r="I49" s="1"/>
      <c r="J49" s="5">
        <f ca="1">WORKDAY(TODAY(),I49/8,1)</f>
        <v>46084</v>
      </c>
      <c r="K49" s="1"/>
      <c r="L49" s="2"/>
      <c r="M49" s="1"/>
      <c r="N49" s="1"/>
    </row>
    <row r="50" spans="1:14" ht="15" customHeight="1" x14ac:dyDescent="0.35">
      <c r="A50" s="3" t="s">
        <v>117</v>
      </c>
      <c r="B50" s="3" t="s">
        <v>10</v>
      </c>
      <c r="C50" s="3" t="s">
        <v>17</v>
      </c>
      <c r="D50" s="3" t="s">
        <v>107</v>
      </c>
      <c r="E50" s="3" t="s">
        <v>107</v>
      </c>
      <c r="F50" s="3" t="s">
        <v>107</v>
      </c>
      <c r="G50" s="3" t="s">
        <v>107</v>
      </c>
      <c r="H50" s="1"/>
      <c r="I50" s="1">
        <v>262</v>
      </c>
      <c r="J50" s="5">
        <f ca="1">WORKDAY(TODAY(),I50/8,1)</f>
        <v>46128</v>
      </c>
      <c r="K50" s="1"/>
      <c r="L50" s="2"/>
      <c r="M50" s="1"/>
      <c r="N50" s="1"/>
    </row>
    <row r="51" spans="1:14" ht="15" customHeight="1" x14ac:dyDescent="0.35">
      <c r="A51" s="3" t="s">
        <v>118</v>
      </c>
      <c r="B51" s="3" t="s">
        <v>26</v>
      </c>
      <c r="C51" s="3" t="s">
        <v>17</v>
      </c>
      <c r="D51" s="3" t="s">
        <v>107</v>
      </c>
      <c r="E51" s="3" t="s">
        <v>207</v>
      </c>
      <c r="F51" s="3" t="s">
        <v>207</v>
      </c>
      <c r="G51" s="3" t="s">
        <v>207</v>
      </c>
      <c r="H51" s="1"/>
      <c r="I51" s="1">
        <v>336</v>
      </c>
      <c r="J51" s="5">
        <f ca="1">WORKDAY(TODAY(),I51/8,1)</f>
        <v>46142</v>
      </c>
      <c r="K51" s="1" t="s">
        <v>212</v>
      </c>
      <c r="L51" s="2"/>
      <c r="M51" s="1"/>
      <c r="N51" s="1"/>
    </row>
    <row r="52" spans="1:14" ht="15" customHeight="1" x14ac:dyDescent="0.35">
      <c r="A52" s="1" t="s">
        <v>119</v>
      </c>
      <c r="B52" s="1" t="s">
        <v>16</v>
      </c>
      <c r="C52" s="3" t="s">
        <v>29</v>
      </c>
      <c r="D52" s="3" t="s">
        <v>120</v>
      </c>
      <c r="E52" s="3" t="s">
        <v>120</v>
      </c>
      <c r="F52" s="3" t="s">
        <v>120</v>
      </c>
      <c r="G52" s="3" t="s">
        <v>120</v>
      </c>
      <c r="H52" s="10" t="s">
        <v>121</v>
      </c>
      <c r="I52" s="1">
        <v>75</v>
      </c>
      <c r="J52" s="5">
        <f ca="1">WORKDAY(TODAY(),I52/4,1)</f>
        <v>46108</v>
      </c>
      <c r="K52" s="1"/>
      <c r="L52" s="2"/>
      <c r="M52" s="1"/>
      <c r="N52" s="1"/>
    </row>
    <row r="53" spans="1:14" ht="15" customHeight="1" x14ac:dyDescent="0.35">
      <c r="A53" t="s">
        <v>122</v>
      </c>
      <c r="B53" s="3" t="s">
        <v>111</v>
      </c>
      <c r="C53" s="3" t="s">
        <v>11</v>
      </c>
      <c r="D53" s="3" t="s">
        <v>123</v>
      </c>
      <c r="E53" s="3" t="s">
        <v>123</v>
      </c>
      <c r="F53" s="3" t="s">
        <v>123</v>
      </c>
      <c r="G53" s="3" t="s">
        <v>123</v>
      </c>
      <c r="H53" s="1"/>
      <c r="I53" s="1">
        <v>920</v>
      </c>
      <c r="J53" s="5">
        <f t="shared" ref="J53:J59" ca="1" si="4">WORKDAY(TODAY(),I53/8,1)</f>
        <v>46245</v>
      </c>
      <c r="K53" s="1" t="s">
        <v>124</v>
      </c>
      <c r="L53" s="1"/>
    </row>
    <row r="54" spans="1:14" ht="15" customHeight="1" x14ac:dyDescent="0.35">
      <c r="A54" s="3" t="s">
        <v>125</v>
      </c>
      <c r="B54" s="3" t="s">
        <v>10</v>
      </c>
      <c r="C54" s="3" t="s">
        <v>11</v>
      </c>
      <c r="D54" s="3" t="s">
        <v>66</v>
      </c>
      <c r="E54" s="3" t="s">
        <v>66</v>
      </c>
      <c r="F54" s="3" t="s">
        <v>66</v>
      </c>
      <c r="G54" s="3" t="s">
        <v>66</v>
      </c>
      <c r="H54" s="1"/>
      <c r="I54" s="1">
        <v>124</v>
      </c>
      <c r="J54" s="5">
        <f t="shared" ca="1" si="4"/>
        <v>46105</v>
      </c>
      <c r="K54" s="1"/>
      <c r="L54" s="2"/>
      <c r="M54" s="1" t="s">
        <v>66</v>
      </c>
      <c r="N54" s="1"/>
    </row>
    <row r="55" spans="1:14" ht="15" customHeight="1" x14ac:dyDescent="0.35">
      <c r="A55" s="1" t="s">
        <v>126</v>
      </c>
      <c r="B55" s="1" t="s">
        <v>127</v>
      </c>
      <c r="C55" s="3" t="s">
        <v>17</v>
      </c>
      <c r="D55" s="3" t="s">
        <v>205</v>
      </c>
      <c r="E55" s="3" t="s">
        <v>205</v>
      </c>
      <c r="F55" s="3" t="s">
        <v>205</v>
      </c>
      <c r="G55" s="3" t="s">
        <v>205</v>
      </c>
      <c r="H55" s="10"/>
      <c r="I55" s="1">
        <v>132</v>
      </c>
      <c r="J55" s="5">
        <f t="shared" ca="1" si="4"/>
        <v>46106</v>
      </c>
      <c r="K55" s="1" t="s">
        <v>206</v>
      </c>
      <c r="L55" s="2"/>
      <c r="M55" s="1"/>
      <c r="N55" s="1"/>
    </row>
    <row r="56" spans="1:14" ht="15" customHeight="1" x14ac:dyDescent="0.35">
      <c r="A56" s="3" t="s">
        <v>128</v>
      </c>
      <c r="B56" s="3" t="s">
        <v>20</v>
      </c>
      <c r="C56" s="3" t="s">
        <v>11</v>
      </c>
      <c r="D56" s="3" t="s">
        <v>22</v>
      </c>
      <c r="E56" s="3" t="s">
        <v>22</v>
      </c>
      <c r="F56" s="3" t="s">
        <v>22</v>
      </c>
      <c r="G56" s="3" t="s">
        <v>22</v>
      </c>
      <c r="H56" s="1"/>
      <c r="I56" s="1">
        <v>222</v>
      </c>
      <c r="J56" s="5">
        <f t="shared" ca="1" si="4"/>
        <v>46121</v>
      </c>
      <c r="K56" s="1" t="s">
        <v>129</v>
      </c>
    </row>
    <row r="57" spans="1:14" ht="15" customHeight="1" x14ac:dyDescent="0.35">
      <c r="A57" s="3" t="s">
        <v>130</v>
      </c>
      <c r="B57" s="3" t="s">
        <v>20</v>
      </c>
      <c r="C57" s="3" t="s">
        <v>17</v>
      </c>
      <c r="D57" s="3" t="s">
        <v>49</v>
      </c>
      <c r="E57" s="3" t="s">
        <v>49</v>
      </c>
      <c r="F57" s="3" t="s">
        <v>49</v>
      </c>
      <c r="G57" s="3" t="s">
        <v>49</v>
      </c>
      <c r="I57" s="1">
        <v>232</v>
      </c>
      <c r="J57" s="7">
        <f t="shared" ca="1" si="4"/>
        <v>46125</v>
      </c>
    </row>
    <row r="58" spans="1:14" ht="15" customHeight="1" x14ac:dyDescent="0.35">
      <c r="A58" s="17" t="s">
        <v>131</v>
      </c>
      <c r="B58" s="17" t="s">
        <v>20</v>
      </c>
      <c r="C58" s="17" t="s">
        <v>17</v>
      </c>
      <c r="D58" s="17" t="s">
        <v>66</v>
      </c>
      <c r="E58" s="17" t="s">
        <v>66</v>
      </c>
      <c r="F58" s="17" t="s">
        <v>66</v>
      </c>
      <c r="G58" s="17" t="s">
        <v>66</v>
      </c>
      <c r="H58" s="19"/>
      <c r="I58" s="18"/>
      <c r="J58" s="19">
        <f t="shared" ca="1" si="4"/>
        <v>46084</v>
      </c>
      <c r="K58" s="19" t="s">
        <v>281</v>
      </c>
      <c r="L58" s="6"/>
      <c r="M58" s="1"/>
      <c r="N58" s="1"/>
    </row>
    <row r="59" spans="1:14" ht="15" customHeight="1" x14ac:dyDescent="0.35">
      <c r="A59" s="3" t="s">
        <v>132</v>
      </c>
      <c r="B59" s="3" t="s">
        <v>20</v>
      </c>
      <c r="C59" s="3" t="s">
        <v>21</v>
      </c>
      <c r="D59" s="3" t="s">
        <v>24</v>
      </c>
      <c r="E59" s="3" t="s">
        <v>24</v>
      </c>
      <c r="F59" s="3" t="s">
        <v>24</v>
      </c>
      <c r="G59" s="3" t="s">
        <v>24</v>
      </c>
      <c r="H59" s="1"/>
      <c r="I59" s="1">
        <v>152</v>
      </c>
      <c r="J59" s="7">
        <f t="shared" ca="1" si="4"/>
        <v>46111</v>
      </c>
      <c r="K59" s="1"/>
      <c r="L59" s="2"/>
      <c r="M59" s="1"/>
      <c r="N59" s="1"/>
    </row>
    <row r="60" spans="1:14" ht="15" customHeight="1" x14ac:dyDescent="0.35">
      <c r="A60" s="3" t="s">
        <v>133</v>
      </c>
      <c r="B60" s="3" t="s">
        <v>16</v>
      </c>
      <c r="C60" s="3" t="s">
        <v>21</v>
      </c>
      <c r="D60" s="3" t="s">
        <v>134</v>
      </c>
      <c r="E60" s="3" t="s">
        <v>134</v>
      </c>
      <c r="F60" s="3" t="s">
        <v>204</v>
      </c>
      <c r="G60" s="3" t="s">
        <v>204</v>
      </c>
      <c r="H60" s="10" t="s">
        <v>135</v>
      </c>
      <c r="I60" s="1"/>
      <c r="J60" s="7"/>
      <c r="K60" s="1" t="s">
        <v>203</v>
      </c>
      <c r="L60" s="8"/>
      <c r="M60" s="1"/>
      <c r="N60" s="1"/>
    </row>
    <row r="61" spans="1:14" ht="15" customHeight="1" x14ac:dyDescent="0.35">
      <c r="A61" s="3" t="s">
        <v>136</v>
      </c>
      <c r="B61" s="3" t="s">
        <v>10</v>
      </c>
      <c r="C61" s="3" t="s">
        <v>17</v>
      </c>
      <c r="D61" s="3" t="s">
        <v>123</v>
      </c>
      <c r="E61" s="3" t="s">
        <v>123</v>
      </c>
      <c r="F61" s="3" t="s">
        <v>123</v>
      </c>
      <c r="G61" s="3" t="s">
        <v>123</v>
      </c>
      <c r="H61" s="1"/>
      <c r="I61" s="1">
        <v>664</v>
      </c>
      <c r="J61" s="7">
        <f ca="1">WORKDAY(TODAY(),I61/8,1)</f>
        <v>46199</v>
      </c>
      <c r="K61" s="1"/>
      <c r="L61" s="2"/>
      <c r="M61" s="1"/>
      <c r="N61" s="1"/>
    </row>
    <row r="62" spans="1:14" ht="15" customHeight="1" x14ac:dyDescent="0.35">
      <c r="A62" s="3" t="s">
        <v>137</v>
      </c>
      <c r="B62" s="3" t="s">
        <v>10</v>
      </c>
      <c r="C62" s="3" t="s">
        <v>17</v>
      </c>
      <c r="D62" s="3" t="s">
        <v>69</v>
      </c>
      <c r="E62" s="3" t="s">
        <v>69</v>
      </c>
      <c r="F62" s="3" t="s">
        <v>201</v>
      </c>
      <c r="G62" s="3" t="s">
        <v>201</v>
      </c>
      <c r="H62" s="1"/>
      <c r="I62" s="1">
        <v>144</v>
      </c>
      <c r="J62" s="7">
        <f ca="1">WORKDAY(TODAY(),I62/8,1)</f>
        <v>46108</v>
      </c>
      <c r="K62" s="1" t="s">
        <v>202</v>
      </c>
      <c r="L62" s="2"/>
      <c r="M62" s="1"/>
      <c r="N62" s="1"/>
    </row>
    <row r="63" spans="1:14" ht="15" customHeight="1" x14ac:dyDescent="0.35">
      <c r="A63" s="3" t="s">
        <v>138</v>
      </c>
      <c r="B63" s="3" t="s">
        <v>81</v>
      </c>
      <c r="C63" s="3" t="s">
        <v>21</v>
      </c>
      <c r="D63" s="3" t="s">
        <v>139</v>
      </c>
      <c r="E63" s="3" t="s">
        <v>139</v>
      </c>
      <c r="F63" s="3" t="s">
        <v>139</v>
      </c>
      <c r="G63" s="3" t="s">
        <v>139</v>
      </c>
      <c r="H63" s="1"/>
      <c r="I63" s="1"/>
      <c r="J63" s="7"/>
      <c r="K63" s="1"/>
      <c r="L63" s="2"/>
      <c r="M63" s="1"/>
      <c r="N63" s="1"/>
    </row>
    <row r="64" spans="1:14" ht="15" customHeight="1" x14ac:dyDescent="0.35">
      <c r="A64" s="3" t="s">
        <v>274</v>
      </c>
      <c r="B64" s="3" t="s">
        <v>20</v>
      </c>
      <c r="C64" s="3" t="s">
        <v>11</v>
      </c>
      <c r="D64" s="3" t="s">
        <v>140</v>
      </c>
      <c r="E64" s="3" t="s">
        <v>140</v>
      </c>
      <c r="F64" s="3" t="s">
        <v>140</v>
      </c>
      <c r="G64" s="3" t="s">
        <v>140</v>
      </c>
      <c r="H64" s="5"/>
      <c r="I64" s="1">
        <v>72</v>
      </c>
      <c r="J64" s="7">
        <f ca="1">WORKDAY(TODAY(),I64/8,1)</f>
        <v>46097</v>
      </c>
      <c r="K64" s="1" t="s">
        <v>141</v>
      </c>
      <c r="L64" s="6"/>
      <c r="M64" s="1"/>
      <c r="N64" s="1"/>
    </row>
    <row r="65" spans="1:14" ht="15" customHeight="1" x14ac:dyDescent="0.35">
      <c r="A65" s="3" t="s">
        <v>142</v>
      </c>
      <c r="B65" s="3" t="s">
        <v>10</v>
      </c>
      <c r="C65" s="3" t="s">
        <v>11</v>
      </c>
      <c r="D65" s="3" t="s">
        <v>22</v>
      </c>
      <c r="E65" s="3" t="s">
        <v>22</v>
      </c>
      <c r="F65" s="3" t="s">
        <v>22</v>
      </c>
      <c r="G65" s="3" t="s">
        <v>22</v>
      </c>
      <c r="H65" s="1"/>
      <c r="I65" s="1">
        <v>146</v>
      </c>
      <c r="J65" s="7">
        <f ca="1">WORKDAY(TODAY(),I65/8,1)</f>
        <v>46108</v>
      </c>
      <c r="K65" s="1" t="s">
        <v>143</v>
      </c>
      <c r="L65" s="2"/>
      <c r="M65" s="1"/>
      <c r="N65" s="5"/>
    </row>
    <row r="66" spans="1:14" ht="15" customHeight="1" x14ac:dyDescent="0.35">
      <c r="A66" s="3" t="s">
        <v>144</v>
      </c>
      <c r="B66" s="3" t="s">
        <v>20</v>
      </c>
      <c r="C66" s="3" t="s">
        <v>17</v>
      </c>
      <c r="D66" s="3" t="s">
        <v>22</v>
      </c>
      <c r="E66" s="3" t="s">
        <v>22</v>
      </c>
      <c r="F66" s="3" t="s">
        <v>22</v>
      </c>
      <c r="G66" s="3" t="s">
        <v>22</v>
      </c>
      <c r="H66" s="1"/>
      <c r="I66" s="1">
        <v>239</v>
      </c>
      <c r="J66" s="5">
        <f ca="1">WORKDAY(TODAY(),I66/8,1)</f>
        <v>46125</v>
      </c>
      <c r="K66" s="1"/>
      <c r="L66" s="2"/>
      <c r="M66" s="1"/>
      <c r="N66" s="1"/>
    </row>
    <row r="67" spans="1:14" ht="15" customHeight="1" x14ac:dyDescent="0.35">
      <c r="A67" s="3" t="s">
        <v>145</v>
      </c>
      <c r="B67" s="3" t="s">
        <v>16</v>
      </c>
      <c r="C67" s="3" t="s">
        <v>21</v>
      </c>
      <c r="D67" s="3" t="s">
        <v>106</v>
      </c>
      <c r="E67" s="3" t="s">
        <v>106</v>
      </c>
      <c r="F67" s="3" t="s">
        <v>106</v>
      </c>
      <c r="G67" s="3" t="s">
        <v>106</v>
      </c>
      <c r="H67" s="1"/>
      <c r="I67" s="1">
        <v>32</v>
      </c>
      <c r="J67" s="5">
        <f ca="1">WORKDAY(TODAY(),I67/4,1)</f>
        <v>46094</v>
      </c>
      <c r="K67" s="1"/>
      <c r="L67" s="2"/>
      <c r="M67" s="1"/>
      <c r="N67" s="1"/>
    </row>
    <row r="68" spans="1:14" ht="15" customHeight="1" x14ac:dyDescent="0.35">
      <c r="A68" s="17" t="s">
        <v>146</v>
      </c>
      <c r="B68" s="17" t="s">
        <v>20</v>
      </c>
      <c r="C68" s="17" t="s">
        <v>17</v>
      </c>
      <c r="D68" s="18" t="s">
        <v>12</v>
      </c>
      <c r="E68" s="18" t="s">
        <v>207</v>
      </c>
      <c r="F68" s="18" t="s">
        <v>207</v>
      </c>
      <c r="G68" s="18" t="s">
        <v>207</v>
      </c>
      <c r="H68" s="18"/>
      <c r="I68" s="18"/>
      <c r="J68" s="19">
        <f t="shared" ref="J68:J73" ca="1" si="5">WORKDAY(TODAY(),I68/8,1)</f>
        <v>46084</v>
      </c>
      <c r="K68" s="18" t="s">
        <v>227</v>
      </c>
      <c r="M68" s="1"/>
    </row>
    <row r="69" spans="1:14" ht="15" customHeight="1" x14ac:dyDescent="0.35">
      <c r="A69" s="3" t="s">
        <v>147</v>
      </c>
      <c r="B69" s="3" t="s">
        <v>20</v>
      </c>
      <c r="C69" s="3" t="s">
        <v>17</v>
      </c>
      <c r="D69" s="3" t="s">
        <v>148</v>
      </c>
      <c r="E69" s="3" t="s">
        <v>148</v>
      </c>
      <c r="F69" s="3" t="s">
        <v>148</v>
      </c>
      <c r="G69" s="3" t="s">
        <v>148</v>
      </c>
      <c r="H69" s="5"/>
      <c r="I69" s="1">
        <v>1760</v>
      </c>
      <c r="J69" s="5">
        <f t="shared" ca="1" si="5"/>
        <v>46392</v>
      </c>
      <c r="K69" s="1"/>
      <c r="L69" s="1"/>
    </row>
    <row r="70" spans="1:14" ht="15" customHeight="1" x14ac:dyDescent="0.35">
      <c r="A70" s="3" t="s">
        <v>149</v>
      </c>
      <c r="B70" s="3" t="s">
        <v>10</v>
      </c>
      <c r="C70" s="3" t="s">
        <v>21</v>
      </c>
      <c r="D70" s="3" t="s">
        <v>224</v>
      </c>
      <c r="E70" s="3" t="s">
        <v>224</v>
      </c>
      <c r="F70" s="3" t="s">
        <v>224</v>
      </c>
      <c r="G70" s="3" t="s">
        <v>224</v>
      </c>
      <c r="H70" s="1"/>
      <c r="I70" s="1">
        <v>180</v>
      </c>
      <c r="J70" s="5">
        <f t="shared" ca="1" si="5"/>
        <v>46114</v>
      </c>
      <c r="K70" s="1" t="s">
        <v>208</v>
      </c>
      <c r="L70" s="2"/>
      <c r="M70" s="1"/>
      <c r="N70" s="1"/>
    </row>
    <row r="71" spans="1:14" ht="15" customHeight="1" x14ac:dyDescent="0.35">
      <c r="A71" s="1" t="s">
        <v>235</v>
      </c>
      <c r="B71" s="1" t="s">
        <v>20</v>
      </c>
      <c r="C71" s="3" t="s">
        <v>29</v>
      </c>
      <c r="D71" s="1" t="s">
        <v>224</v>
      </c>
      <c r="E71" s="1" t="s">
        <v>224</v>
      </c>
      <c r="F71" s="1" t="s">
        <v>224</v>
      </c>
      <c r="G71" s="1" t="s">
        <v>224</v>
      </c>
      <c r="H71" s="1"/>
      <c r="I71" s="1"/>
      <c r="J71" s="5">
        <f t="shared" ca="1" si="5"/>
        <v>46084</v>
      </c>
      <c r="K71" s="1" t="s">
        <v>236</v>
      </c>
      <c r="L71" s="2"/>
      <c r="M71" s="1"/>
      <c r="N71" s="1"/>
    </row>
    <row r="72" spans="1:14" ht="15" customHeight="1" x14ac:dyDescent="0.35">
      <c r="A72" s="3" t="s">
        <v>150</v>
      </c>
      <c r="B72" s="3" t="s">
        <v>10</v>
      </c>
      <c r="C72" s="3" t="s">
        <v>17</v>
      </c>
      <c r="D72" s="3" t="s">
        <v>151</v>
      </c>
      <c r="E72" s="3" t="s">
        <v>151</v>
      </c>
      <c r="F72" s="3" t="s">
        <v>151</v>
      </c>
      <c r="G72" s="3" t="s">
        <v>151</v>
      </c>
      <c r="H72" s="1"/>
      <c r="I72" s="1">
        <v>177</v>
      </c>
      <c r="J72" s="5">
        <f t="shared" ca="1" si="5"/>
        <v>46114</v>
      </c>
      <c r="K72" s="1"/>
      <c r="L72" s="6"/>
      <c r="M72" s="1"/>
      <c r="N72" s="1"/>
    </row>
    <row r="73" spans="1:14" ht="15" customHeight="1" x14ac:dyDescent="0.35">
      <c r="A73" s="3" t="s">
        <v>152</v>
      </c>
      <c r="B73" s="3" t="s">
        <v>10</v>
      </c>
      <c r="C73" s="3" t="s">
        <v>21</v>
      </c>
      <c r="D73" s="3" t="s">
        <v>24</v>
      </c>
      <c r="E73" s="3" t="s">
        <v>71</v>
      </c>
      <c r="F73" s="3" t="s">
        <v>71</v>
      </c>
      <c r="G73" s="3" t="s">
        <v>71</v>
      </c>
      <c r="H73" s="5"/>
      <c r="I73" s="1">
        <v>146</v>
      </c>
      <c r="J73" s="5">
        <f t="shared" ca="1" si="5"/>
        <v>46108</v>
      </c>
      <c r="K73" s="9"/>
      <c r="L73" s="1"/>
      <c r="M73" s="1"/>
    </row>
    <row r="74" spans="1:14" ht="15" customHeight="1" x14ac:dyDescent="0.35">
      <c r="A74" s="1" t="s">
        <v>153</v>
      </c>
      <c r="B74" s="1" t="s">
        <v>61</v>
      </c>
      <c r="C74" s="3" t="s">
        <v>21</v>
      </c>
      <c r="D74" s="3" t="s">
        <v>201</v>
      </c>
      <c r="E74" s="3" t="s">
        <v>201</v>
      </c>
      <c r="F74" s="3" t="s">
        <v>201</v>
      </c>
      <c r="G74" s="3" t="s">
        <v>201</v>
      </c>
      <c r="H74" s="3" t="s">
        <v>201</v>
      </c>
      <c r="I74" s="1">
        <v>25</v>
      </c>
      <c r="J74" s="5"/>
      <c r="K74" s="1"/>
      <c r="L74" s="2"/>
      <c r="M74" s="1" t="s">
        <v>154</v>
      </c>
      <c r="N74" s="1"/>
    </row>
    <row r="75" spans="1:14" ht="17.5" customHeight="1" x14ac:dyDescent="0.35">
      <c r="A75" s="3" t="s">
        <v>155</v>
      </c>
      <c r="B75" s="3" t="s">
        <v>10</v>
      </c>
      <c r="C75" s="3" t="s">
        <v>200</v>
      </c>
      <c r="D75" s="3" t="s">
        <v>156</v>
      </c>
      <c r="E75" s="3" t="s">
        <v>156</v>
      </c>
      <c r="F75" s="3" t="s">
        <v>156</v>
      </c>
      <c r="G75" s="3" t="s">
        <v>156</v>
      </c>
      <c r="H75" s="1" t="s">
        <v>229</v>
      </c>
      <c r="I75" s="1">
        <v>141</v>
      </c>
      <c r="J75" s="5">
        <f t="shared" ref="J75:J86" ca="1" si="6">WORKDAY(TODAY(),I75/8,1)</f>
        <v>46107</v>
      </c>
      <c r="K75" s="1"/>
      <c r="L75" s="2"/>
      <c r="M75" s="1"/>
      <c r="N75" s="1"/>
    </row>
    <row r="76" spans="1:14" ht="15" customHeight="1" x14ac:dyDescent="0.35">
      <c r="A76" s="3" t="s">
        <v>157</v>
      </c>
      <c r="B76" s="3" t="s">
        <v>20</v>
      </c>
      <c r="C76" s="3" t="s">
        <v>17</v>
      </c>
      <c r="D76" s="3" t="s">
        <v>158</v>
      </c>
      <c r="E76" s="3" t="s">
        <v>158</v>
      </c>
      <c r="F76" s="3" t="s">
        <v>158</v>
      </c>
      <c r="G76" s="3" t="s">
        <v>158</v>
      </c>
      <c r="H76" s="5"/>
      <c r="I76" s="1">
        <v>166</v>
      </c>
      <c r="J76" s="5">
        <f t="shared" ca="1" si="6"/>
        <v>46112</v>
      </c>
      <c r="K76" s="5" t="s">
        <v>159</v>
      </c>
    </row>
    <row r="77" spans="1:14" ht="15" customHeight="1" x14ac:dyDescent="0.35">
      <c r="A77" s="3" t="s">
        <v>160</v>
      </c>
      <c r="B77" s="3" t="s">
        <v>20</v>
      </c>
      <c r="C77" s="3" t="s">
        <v>17</v>
      </c>
      <c r="D77" s="3" t="s">
        <v>161</v>
      </c>
      <c r="E77" s="3" t="s">
        <v>161</v>
      </c>
      <c r="F77" s="3" t="s">
        <v>161</v>
      </c>
      <c r="G77" s="3" t="s">
        <v>161</v>
      </c>
      <c r="H77" s="2"/>
      <c r="I77" s="1">
        <v>148</v>
      </c>
      <c r="J77" s="5">
        <f t="shared" ca="1" si="6"/>
        <v>46108</v>
      </c>
      <c r="K77" s="1"/>
    </row>
    <row r="78" spans="1:14" ht="15" customHeight="1" x14ac:dyDescent="0.35">
      <c r="A78" s="3" t="s">
        <v>162</v>
      </c>
      <c r="B78" s="3" t="s">
        <v>10</v>
      </c>
      <c r="C78" s="3" t="s">
        <v>17</v>
      </c>
      <c r="D78" s="3" t="s">
        <v>95</v>
      </c>
      <c r="E78" s="3" t="s">
        <v>95</v>
      </c>
      <c r="F78" s="3" t="s">
        <v>95</v>
      </c>
      <c r="G78" s="3" t="s">
        <v>95</v>
      </c>
      <c r="H78" s="1"/>
      <c r="I78" s="1">
        <v>1040</v>
      </c>
      <c r="J78" s="5">
        <f t="shared" ca="1" si="6"/>
        <v>46266</v>
      </c>
      <c r="K78" s="1"/>
      <c r="L78" s="2"/>
      <c r="M78" s="1"/>
      <c r="N78" s="1"/>
    </row>
    <row r="79" spans="1:14" ht="15" customHeight="1" x14ac:dyDescent="0.35">
      <c r="A79" s="3" t="s">
        <v>163</v>
      </c>
      <c r="B79" s="3" t="s">
        <v>20</v>
      </c>
      <c r="C79" s="3" t="s">
        <v>42</v>
      </c>
      <c r="D79" s="3" t="s">
        <v>164</v>
      </c>
      <c r="E79" s="3" t="s">
        <v>164</v>
      </c>
      <c r="F79" s="3" t="s">
        <v>164</v>
      </c>
      <c r="G79" s="3" t="s">
        <v>12</v>
      </c>
      <c r="H79" s="1"/>
      <c r="I79" s="1">
        <v>43</v>
      </c>
      <c r="J79" s="5">
        <f t="shared" ca="1" si="6"/>
        <v>46091</v>
      </c>
      <c r="K79" s="1"/>
      <c r="L79" s="2"/>
      <c r="M79" s="1"/>
      <c r="N79" s="1"/>
    </row>
    <row r="80" spans="1:14" ht="15" customHeight="1" x14ac:dyDescent="0.35">
      <c r="A80" s="3" t="s">
        <v>165</v>
      </c>
      <c r="B80" s="3" t="s">
        <v>20</v>
      </c>
      <c r="C80" s="3" t="s">
        <v>17</v>
      </c>
      <c r="D80" s="3" t="s">
        <v>66</v>
      </c>
      <c r="E80" s="3" t="s">
        <v>66</v>
      </c>
      <c r="F80" s="3" t="s">
        <v>66</v>
      </c>
      <c r="G80" s="3" t="s">
        <v>66</v>
      </c>
      <c r="H80" s="12"/>
      <c r="I80" s="1">
        <v>146</v>
      </c>
      <c r="J80" s="5">
        <f t="shared" ca="1" si="6"/>
        <v>46108</v>
      </c>
      <c r="K80" s="1" t="s">
        <v>166</v>
      </c>
      <c r="L80" s="1"/>
      <c r="M80" s="1"/>
    </row>
    <row r="81" spans="1:14" ht="15" customHeight="1" x14ac:dyDescent="0.35">
      <c r="A81" s="3" t="s">
        <v>167</v>
      </c>
      <c r="B81" s="3" t="s">
        <v>20</v>
      </c>
      <c r="C81" s="3" t="s">
        <v>21</v>
      </c>
      <c r="D81" s="3" t="s">
        <v>46</v>
      </c>
      <c r="E81" s="3" t="s">
        <v>46</v>
      </c>
      <c r="F81" s="3" t="s">
        <v>46</v>
      </c>
      <c r="G81" s="3" t="s">
        <v>46</v>
      </c>
      <c r="H81" s="1"/>
      <c r="I81" s="1">
        <v>120</v>
      </c>
      <c r="J81" s="5">
        <f t="shared" ca="1" si="6"/>
        <v>46105</v>
      </c>
      <c r="K81" s="1"/>
    </row>
    <row r="82" spans="1:14" ht="11.5" x14ac:dyDescent="0.35">
      <c r="A82" s="3" t="s">
        <v>168</v>
      </c>
      <c r="B82" s="3" t="s">
        <v>20</v>
      </c>
      <c r="C82" s="3" t="s">
        <v>17</v>
      </c>
      <c r="D82" s="3" t="s">
        <v>123</v>
      </c>
      <c r="E82" s="3" t="s">
        <v>123</v>
      </c>
      <c r="F82" s="3" t="s">
        <v>123</v>
      </c>
      <c r="G82" s="3" t="s">
        <v>123</v>
      </c>
      <c r="H82" s="1"/>
      <c r="I82" s="1">
        <v>1192</v>
      </c>
      <c r="J82" s="5">
        <f t="shared" ca="1" si="6"/>
        <v>46293</v>
      </c>
      <c r="K82" s="1"/>
      <c r="L82" s="6"/>
      <c r="M82" s="1"/>
      <c r="N82" s="1"/>
    </row>
    <row r="83" spans="1:14" ht="11.5" x14ac:dyDescent="0.35">
      <c r="A83" s="3" t="s">
        <v>169</v>
      </c>
      <c r="B83" s="3" t="s">
        <v>10</v>
      </c>
      <c r="C83" s="3" t="s">
        <v>11</v>
      </c>
      <c r="D83" s="3" t="s">
        <v>170</v>
      </c>
      <c r="E83" s="3" t="s">
        <v>170</v>
      </c>
      <c r="F83" s="3" t="s">
        <v>170</v>
      </c>
      <c r="G83" s="3" t="s">
        <v>170</v>
      </c>
      <c r="H83" s="1"/>
      <c r="I83" s="1">
        <v>64</v>
      </c>
      <c r="J83" s="5">
        <f t="shared" ca="1" si="6"/>
        <v>46094</v>
      </c>
      <c r="K83" s="1"/>
      <c r="L83" s="2"/>
      <c r="M83" s="1"/>
      <c r="N83" s="5">
        <v>45075</v>
      </c>
    </row>
    <row r="84" spans="1:14" ht="15" customHeight="1" x14ac:dyDescent="0.35">
      <c r="A84" s="3" t="s">
        <v>171</v>
      </c>
      <c r="B84" s="3" t="s">
        <v>61</v>
      </c>
      <c r="C84" s="3" t="s">
        <v>17</v>
      </c>
      <c r="D84" s="3" t="s">
        <v>71</v>
      </c>
      <c r="E84" s="3" t="s">
        <v>71</v>
      </c>
      <c r="F84" s="3" t="s">
        <v>71</v>
      </c>
      <c r="G84" s="3" t="s">
        <v>71</v>
      </c>
      <c r="H84" s="1"/>
      <c r="I84" s="1">
        <v>161</v>
      </c>
      <c r="J84" s="5">
        <f t="shared" ca="1" si="6"/>
        <v>46112</v>
      </c>
      <c r="K84" s="2"/>
      <c r="L84" s="1"/>
      <c r="M84" s="1"/>
    </row>
    <row r="85" spans="1:14" ht="15" customHeight="1" x14ac:dyDescent="0.35">
      <c r="A85" s="1" t="s">
        <v>172</v>
      </c>
      <c r="B85" s="1" t="s">
        <v>20</v>
      </c>
      <c r="C85" s="3" t="s">
        <v>17</v>
      </c>
      <c r="D85" s="1" t="s">
        <v>104</v>
      </c>
      <c r="E85" s="1" t="s">
        <v>104</v>
      </c>
      <c r="F85" s="1" t="s">
        <v>104</v>
      </c>
      <c r="G85" s="1" t="s">
        <v>104</v>
      </c>
      <c r="H85" s="5"/>
      <c r="I85" s="1">
        <v>103</v>
      </c>
      <c r="J85" s="5">
        <f t="shared" ca="1" si="6"/>
        <v>46100</v>
      </c>
      <c r="K85" s="5"/>
      <c r="L85" s="2"/>
      <c r="M85" s="1"/>
      <c r="N85" s="1"/>
    </row>
    <row r="86" spans="1:14" ht="15" customHeight="1" x14ac:dyDescent="0.35">
      <c r="A86" s="3" t="s">
        <v>255</v>
      </c>
      <c r="B86" s="3" t="s">
        <v>10</v>
      </c>
      <c r="C86" s="3" t="s">
        <v>11</v>
      </c>
      <c r="D86" s="3" t="s">
        <v>46</v>
      </c>
      <c r="E86" s="3" t="s">
        <v>46</v>
      </c>
      <c r="F86" s="3" t="s">
        <v>46</v>
      </c>
      <c r="G86" s="3" t="s">
        <v>46</v>
      </c>
      <c r="H86" s="13"/>
      <c r="I86" s="1">
        <v>138</v>
      </c>
      <c r="J86" s="5">
        <f t="shared" ca="1" si="6"/>
        <v>46107</v>
      </c>
      <c r="K86" s="1" t="s">
        <v>173</v>
      </c>
      <c r="L86" s="2"/>
      <c r="M86" s="1"/>
      <c r="N86" s="1"/>
    </row>
    <row r="87" spans="1:14" ht="15" customHeight="1" x14ac:dyDescent="0.35">
      <c r="A87" s="3" t="s">
        <v>174</v>
      </c>
      <c r="B87" s="3" t="s">
        <v>81</v>
      </c>
      <c r="C87" s="3" t="s">
        <v>21</v>
      </c>
      <c r="D87" s="3" t="s">
        <v>175</v>
      </c>
      <c r="E87" s="3" t="s">
        <v>175</v>
      </c>
      <c r="F87" s="3" t="s">
        <v>175</v>
      </c>
      <c r="G87" s="3" t="s">
        <v>175</v>
      </c>
      <c r="H87" s="1"/>
      <c r="I87" s="1"/>
      <c r="J87" s="1"/>
      <c r="K87" s="1"/>
      <c r="L87" s="2"/>
      <c r="M87" s="1"/>
      <c r="N87" s="1"/>
    </row>
    <row r="88" spans="1:14" ht="15" customHeight="1" x14ac:dyDescent="0.35">
      <c r="A88" s="3" t="s">
        <v>176</v>
      </c>
      <c r="B88" s="3" t="s">
        <v>26</v>
      </c>
      <c r="C88" s="3" t="s">
        <v>17</v>
      </c>
      <c r="D88" s="1" t="s">
        <v>103</v>
      </c>
      <c r="E88" s="1" t="s">
        <v>103</v>
      </c>
      <c r="F88" s="1" t="s">
        <v>103</v>
      </c>
      <c r="G88" s="1" t="s">
        <v>103</v>
      </c>
      <c r="H88" s="1"/>
      <c r="I88" s="1">
        <v>25</v>
      </c>
      <c r="J88" s="5">
        <f ca="1">WORKDAY(TODAY(),I88/8,1)</f>
        <v>46087</v>
      </c>
      <c r="K88" s="1" t="s">
        <v>177</v>
      </c>
      <c r="M88" s="1" t="s">
        <v>178</v>
      </c>
    </row>
    <row r="89" spans="1:14" ht="15" customHeight="1" x14ac:dyDescent="0.35">
      <c r="A89" s="3" t="s">
        <v>179</v>
      </c>
      <c r="B89" s="3" t="s">
        <v>20</v>
      </c>
      <c r="C89" s="3" t="s">
        <v>11</v>
      </c>
      <c r="D89" s="3" t="s">
        <v>33</v>
      </c>
      <c r="E89" s="3" t="s">
        <v>33</v>
      </c>
      <c r="F89" s="3" t="s">
        <v>33</v>
      </c>
      <c r="G89" s="3" t="s">
        <v>33</v>
      </c>
      <c r="H89" s="1"/>
      <c r="I89" s="1">
        <v>160</v>
      </c>
      <c r="J89" s="5">
        <f ca="1">WORKDAY(TODAY(),I89/8,1)</f>
        <v>46112</v>
      </c>
      <c r="K89" s="1" t="s">
        <v>180</v>
      </c>
    </row>
    <row r="90" spans="1:14" ht="15" customHeight="1" x14ac:dyDescent="0.35">
      <c r="A90" s="3" t="s">
        <v>181</v>
      </c>
      <c r="B90" s="3" t="s">
        <v>10</v>
      </c>
      <c r="C90" s="3" t="s">
        <v>17</v>
      </c>
      <c r="D90" s="3" t="s">
        <v>182</v>
      </c>
      <c r="E90" s="3" t="s">
        <v>182</v>
      </c>
      <c r="F90" s="3" t="s">
        <v>182</v>
      </c>
      <c r="G90" s="3" t="s">
        <v>207</v>
      </c>
      <c r="H90" s="1"/>
      <c r="I90" s="1"/>
      <c r="J90" s="5">
        <f ca="1">WORKDAY(TODAY(),I90/8,1)</f>
        <v>46084</v>
      </c>
      <c r="K90" s="14" t="s">
        <v>206</v>
      </c>
      <c r="L90" s="2"/>
      <c r="M90" s="1"/>
      <c r="N90" s="1"/>
    </row>
    <row r="91" spans="1:14" ht="15" customHeight="1" x14ac:dyDescent="0.35">
      <c r="A91" s="3" t="s">
        <v>183</v>
      </c>
      <c r="B91" s="3" t="s">
        <v>26</v>
      </c>
      <c r="C91" s="3" t="s">
        <v>29</v>
      </c>
      <c r="D91" s="3" t="s">
        <v>184</v>
      </c>
      <c r="E91" s="3" t="s">
        <v>184</v>
      </c>
      <c r="F91" s="3" t="s">
        <v>184</v>
      </c>
      <c r="G91" s="3" t="s">
        <v>184</v>
      </c>
      <c r="H91" s="1"/>
      <c r="I91" s="1">
        <v>928</v>
      </c>
      <c r="J91" s="5">
        <f ca="1">WORKDAY(TODAY(),I91/8,1)</f>
        <v>46246</v>
      </c>
      <c r="K91" s="1"/>
      <c r="L91" s="6"/>
      <c r="M91" s="1"/>
      <c r="N91" s="1"/>
    </row>
    <row r="92" spans="1:14" ht="15" customHeight="1" x14ac:dyDescent="0.35">
      <c r="A92" s="3" t="s">
        <v>185</v>
      </c>
      <c r="B92" s="3" t="s">
        <v>16</v>
      </c>
      <c r="C92" s="3" t="s">
        <v>21</v>
      </c>
      <c r="D92" s="3" t="s">
        <v>71</v>
      </c>
      <c r="E92" s="3" t="s">
        <v>71</v>
      </c>
      <c r="F92" s="3" t="s">
        <v>71</v>
      </c>
      <c r="G92" s="3" t="s">
        <v>71</v>
      </c>
      <c r="I92" s="1"/>
      <c r="J92" s="7"/>
      <c r="K92" s="3" t="s">
        <v>186</v>
      </c>
    </row>
    <row r="93" spans="1:14" ht="15" customHeight="1" x14ac:dyDescent="0.35">
      <c r="A93" s="3" t="s">
        <v>187</v>
      </c>
      <c r="B93" s="3" t="s">
        <v>20</v>
      </c>
      <c r="C93" s="3" t="s">
        <v>29</v>
      </c>
      <c r="D93" s="3" t="s">
        <v>69</v>
      </c>
      <c r="E93" s="3" t="s">
        <v>69</v>
      </c>
      <c r="F93" s="3" t="s">
        <v>69</v>
      </c>
      <c r="G93" s="3" t="s">
        <v>69</v>
      </c>
      <c r="H93" s="1"/>
      <c r="I93" s="1">
        <v>48</v>
      </c>
      <c r="J93" s="5">
        <f ca="1">WORKDAY(TODAY(),I93/8,1)</f>
        <v>46092</v>
      </c>
      <c r="K93" s="1" t="s">
        <v>188</v>
      </c>
    </row>
    <row r="94" spans="1:14" ht="15" customHeight="1" x14ac:dyDescent="0.35">
      <c r="A94" s="3" t="s">
        <v>189</v>
      </c>
      <c r="B94" s="3" t="s">
        <v>16</v>
      </c>
      <c r="C94" s="3" t="s">
        <v>21</v>
      </c>
      <c r="D94" s="3" t="s">
        <v>46</v>
      </c>
      <c r="E94" s="3" t="s">
        <v>46</v>
      </c>
      <c r="F94" s="3" t="s">
        <v>46</v>
      </c>
      <c r="G94" s="3" t="s">
        <v>46</v>
      </c>
      <c r="H94" s="1"/>
      <c r="I94" s="1">
        <v>212</v>
      </c>
      <c r="J94" s="5">
        <f t="shared" ref="J94" ca="1" si="7">WORKDAY(TODAY(),I94/8,1)</f>
        <v>46120</v>
      </c>
      <c r="K94" s="1" t="s">
        <v>190</v>
      </c>
      <c r="L94" s="2"/>
      <c r="M94" s="1"/>
      <c r="N94" s="1"/>
    </row>
    <row r="95" spans="1:14" ht="15" customHeight="1" x14ac:dyDescent="0.35">
      <c r="A95" s="3" t="s">
        <v>191</v>
      </c>
      <c r="B95" s="1" t="s">
        <v>20</v>
      </c>
      <c r="C95" s="3" t="s">
        <v>17</v>
      </c>
      <c r="D95" s="1" t="s">
        <v>192</v>
      </c>
      <c r="E95" s="1" t="s">
        <v>192</v>
      </c>
      <c r="F95" s="1" t="s">
        <v>192</v>
      </c>
      <c r="G95" s="1" t="s">
        <v>192</v>
      </c>
      <c r="H95" s="1"/>
      <c r="I95" s="1">
        <v>30</v>
      </c>
      <c r="J95" s="5">
        <f t="shared" ref="J95:J100" ca="1" si="8">WORKDAY(TODAY(),I95/8,1)</f>
        <v>46087</v>
      </c>
      <c r="K95" s="1" t="s">
        <v>211</v>
      </c>
      <c r="L95" s="2"/>
      <c r="M95" s="1"/>
      <c r="N95" s="1"/>
    </row>
    <row r="96" spans="1:14" ht="15" customHeight="1" x14ac:dyDescent="0.35">
      <c r="A96" s="1" t="s">
        <v>193</v>
      </c>
      <c r="B96" s="1" t="s">
        <v>20</v>
      </c>
      <c r="C96" s="3" t="s">
        <v>42</v>
      </c>
      <c r="D96" s="3" t="s">
        <v>27</v>
      </c>
      <c r="E96" s="3" t="s">
        <v>27</v>
      </c>
      <c r="F96" s="3" t="s">
        <v>27</v>
      </c>
      <c r="G96" s="1" t="s">
        <v>196</v>
      </c>
      <c r="H96" s="1"/>
      <c r="I96" s="1">
        <v>160</v>
      </c>
      <c r="J96" s="5">
        <f t="shared" ca="1" si="8"/>
        <v>46112</v>
      </c>
      <c r="K96" s="1"/>
      <c r="L96" s="2"/>
      <c r="M96" s="1"/>
      <c r="N96" s="1"/>
    </row>
    <row r="97" spans="1:14" ht="15" customHeight="1" x14ac:dyDescent="0.35">
      <c r="A97" s="1" t="s">
        <v>194</v>
      </c>
      <c r="B97" s="1" t="s">
        <v>20</v>
      </c>
      <c r="C97" s="3" t="s">
        <v>11</v>
      </c>
      <c r="D97" s="3" t="s">
        <v>104</v>
      </c>
      <c r="E97" s="3" t="s">
        <v>104</v>
      </c>
      <c r="F97" s="3" t="s">
        <v>104</v>
      </c>
      <c r="G97" s="3" t="s">
        <v>161</v>
      </c>
      <c r="H97" s="1"/>
      <c r="I97" s="1">
        <v>300</v>
      </c>
      <c r="J97" s="5">
        <f t="shared" ca="1" si="8"/>
        <v>46135</v>
      </c>
      <c r="K97" s="1"/>
      <c r="L97" s="2"/>
      <c r="M97" s="1"/>
      <c r="N97" s="1"/>
    </row>
    <row r="98" spans="1:14" ht="15" customHeight="1" x14ac:dyDescent="0.35">
      <c r="A98" s="1" t="s">
        <v>195</v>
      </c>
      <c r="B98" s="1" t="s">
        <v>20</v>
      </c>
      <c r="C98" s="3" t="s">
        <v>21</v>
      </c>
      <c r="D98" s="1" t="s">
        <v>196</v>
      </c>
      <c r="E98" s="1" t="s">
        <v>196</v>
      </c>
      <c r="F98" s="1" t="s">
        <v>196</v>
      </c>
      <c r="G98" s="1" t="s">
        <v>196</v>
      </c>
      <c r="H98" s="1"/>
      <c r="I98" s="1">
        <v>149</v>
      </c>
      <c r="J98" s="7">
        <f t="shared" ca="1" si="8"/>
        <v>46108</v>
      </c>
      <c r="K98" s="1"/>
      <c r="L98" s="2"/>
      <c r="M98" s="1"/>
      <c r="N98" s="1"/>
    </row>
    <row r="99" spans="1:14" ht="15" customHeight="1" x14ac:dyDescent="0.35">
      <c r="A99" s="1" t="s">
        <v>213</v>
      </c>
      <c r="B99" s="1" t="s">
        <v>20</v>
      </c>
      <c r="C99" s="3" t="s">
        <v>11</v>
      </c>
      <c r="D99" s="1" t="s">
        <v>214</v>
      </c>
      <c r="E99" s="1" t="s">
        <v>214</v>
      </c>
      <c r="F99" s="1" t="s">
        <v>214</v>
      </c>
      <c r="G99" s="1" t="s">
        <v>214</v>
      </c>
      <c r="H99" s="1"/>
      <c r="I99" s="1">
        <v>628</v>
      </c>
      <c r="J99" s="5">
        <f t="shared" ca="1" si="8"/>
        <v>46192</v>
      </c>
      <c r="K99" s="1"/>
      <c r="L99" s="2"/>
      <c r="M99" s="1"/>
      <c r="N99" s="1"/>
    </row>
    <row r="100" spans="1:14" ht="15" customHeight="1" x14ac:dyDescent="0.35">
      <c r="A100" s="1" t="s">
        <v>228</v>
      </c>
      <c r="B100" s="1" t="s">
        <v>20</v>
      </c>
      <c r="C100" s="3" t="s">
        <v>17</v>
      </c>
      <c r="D100" s="1" t="s">
        <v>214</v>
      </c>
      <c r="E100" s="1" t="s">
        <v>214</v>
      </c>
      <c r="F100" s="1" t="s">
        <v>214</v>
      </c>
      <c r="G100" s="1" t="s">
        <v>214</v>
      </c>
      <c r="H100" s="1"/>
      <c r="I100" s="1">
        <v>692</v>
      </c>
      <c r="J100" s="7">
        <f t="shared" ca="1" si="8"/>
        <v>46204</v>
      </c>
      <c r="K100" s="1"/>
      <c r="L100" s="2"/>
      <c r="M100" s="1"/>
      <c r="N100" s="1"/>
    </row>
    <row r="101" spans="1:14" ht="15" customHeight="1" x14ac:dyDescent="0.35">
      <c r="A101" s="1" t="s">
        <v>215</v>
      </c>
      <c r="B101" s="1" t="s">
        <v>20</v>
      </c>
      <c r="C101" s="3" t="s">
        <v>21</v>
      </c>
      <c r="D101" s="1" t="s">
        <v>214</v>
      </c>
      <c r="E101" s="1" t="s">
        <v>214</v>
      </c>
      <c r="F101" s="1" t="s">
        <v>214</v>
      </c>
      <c r="G101" s="1" t="s">
        <v>214</v>
      </c>
      <c r="H101" s="1"/>
      <c r="I101" s="1">
        <v>138</v>
      </c>
      <c r="J101" s="5">
        <f t="shared" ref="J101:J103" ca="1" si="9">WORKDAY(TODAY(),I101/8,1)</f>
        <v>46107</v>
      </c>
      <c r="K101" s="1"/>
      <c r="L101" s="2"/>
      <c r="M101" s="1"/>
      <c r="N101" s="1"/>
    </row>
    <row r="102" spans="1:14" ht="15" customHeight="1" x14ac:dyDescent="0.35">
      <c r="A102" s="1" t="s">
        <v>216</v>
      </c>
      <c r="B102" s="1" t="s">
        <v>20</v>
      </c>
      <c r="C102" s="3" t="s">
        <v>29</v>
      </c>
      <c r="D102" s="1" t="s">
        <v>214</v>
      </c>
      <c r="E102" s="1" t="s">
        <v>214</v>
      </c>
      <c r="F102" s="1" t="s">
        <v>214</v>
      </c>
      <c r="G102" s="1" t="s">
        <v>214</v>
      </c>
      <c r="H102" s="1"/>
      <c r="I102" s="1">
        <v>668</v>
      </c>
      <c r="J102" s="5">
        <f ca="1">WORKDAY(TODAY(),I102/8,1)</f>
        <v>46199</v>
      </c>
      <c r="K102" s="1"/>
      <c r="L102" s="2"/>
      <c r="M102" s="1"/>
      <c r="N102" s="1"/>
    </row>
    <row r="103" spans="1:14" ht="15" customHeight="1" x14ac:dyDescent="0.35">
      <c r="A103" s="1" t="s">
        <v>217</v>
      </c>
      <c r="B103" s="1" t="s">
        <v>20</v>
      </c>
      <c r="D103" s="1" t="s">
        <v>214</v>
      </c>
      <c r="E103" s="1" t="s">
        <v>214</v>
      </c>
      <c r="F103" s="1" t="s">
        <v>214</v>
      </c>
      <c r="G103" s="1" t="s">
        <v>214</v>
      </c>
      <c r="H103" s="1"/>
      <c r="I103" s="1">
        <v>756</v>
      </c>
      <c r="J103" s="5">
        <f t="shared" ca="1" si="9"/>
        <v>46216</v>
      </c>
      <c r="K103" s="1"/>
      <c r="L103" s="2"/>
      <c r="M103" s="1"/>
      <c r="N103" s="1"/>
    </row>
    <row r="104" spans="1:14" ht="15" customHeight="1" x14ac:dyDescent="0.35">
      <c r="A104" s="1" t="s">
        <v>225</v>
      </c>
      <c r="B104" s="1" t="s">
        <v>20</v>
      </c>
      <c r="C104" s="3" t="s">
        <v>21</v>
      </c>
      <c r="D104" s="1" t="s">
        <v>214</v>
      </c>
      <c r="E104" s="1" t="s">
        <v>214</v>
      </c>
      <c r="F104" s="1" t="s">
        <v>214</v>
      </c>
      <c r="G104" s="1" t="s">
        <v>214</v>
      </c>
      <c r="H104" s="1"/>
      <c r="I104" s="1">
        <v>868</v>
      </c>
      <c r="J104" s="5">
        <f ca="1">WORKDAY(TODAY(),I104/8,1)</f>
        <v>46234</v>
      </c>
      <c r="K104" s="1"/>
      <c r="L104" s="2"/>
      <c r="M104" s="1"/>
      <c r="N104" s="1"/>
    </row>
    <row r="105" spans="1:14" ht="15" customHeight="1" x14ac:dyDescent="0.35">
      <c r="A105" s="1" t="s">
        <v>252</v>
      </c>
      <c r="B105" s="1" t="s">
        <v>20</v>
      </c>
      <c r="C105" s="3" t="s">
        <v>29</v>
      </c>
      <c r="D105" s="1" t="s">
        <v>214</v>
      </c>
      <c r="E105" s="1" t="s">
        <v>214</v>
      </c>
      <c r="F105" s="1" t="s">
        <v>214</v>
      </c>
      <c r="G105" s="1" t="s">
        <v>214</v>
      </c>
      <c r="H105" s="1"/>
      <c r="I105" s="1">
        <v>621</v>
      </c>
      <c r="J105" s="5">
        <f ca="1">WORKDAY(TODAY(),I105/8,1)</f>
        <v>46191</v>
      </c>
      <c r="K105" s="1"/>
      <c r="L105" s="2"/>
      <c r="M105" s="1"/>
      <c r="N105" s="1"/>
    </row>
    <row r="106" spans="1:14" ht="15" customHeight="1" x14ac:dyDescent="0.35">
      <c r="A106" s="1" t="s">
        <v>218</v>
      </c>
      <c r="B106" s="1" t="s">
        <v>20</v>
      </c>
      <c r="C106" s="3" t="s">
        <v>21</v>
      </c>
      <c r="D106" s="1" t="s">
        <v>219</v>
      </c>
      <c r="E106" s="1" t="s">
        <v>219</v>
      </c>
      <c r="F106" s="1" t="s">
        <v>219</v>
      </c>
      <c r="G106" s="1" t="s">
        <v>219</v>
      </c>
      <c r="H106" s="1"/>
      <c r="I106" s="1">
        <v>173</v>
      </c>
      <c r="J106" s="5">
        <f ca="1">WORKDAY(TODAY(),I106/8,1)</f>
        <v>46113</v>
      </c>
      <c r="K106" s="1"/>
      <c r="L106" s="2"/>
      <c r="M106" s="1"/>
      <c r="N106" s="1"/>
    </row>
    <row r="107" spans="1:14" ht="15" customHeight="1" x14ac:dyDescent="0.35">
      <c r="A107" s="1" t="s">
        <v>220</v>
      </c>
      <c r="B107" s="1" t="s">
        <v>20</v>
      </c>
      <c r="C107" s="3" t="s">
        <v>21</v>
      </c>
      <c r="D107" s="1" t="s">
        <v>219</v>
      </c>
      <c r="E107" s="16" t="s">
        <v>219</v>
      </c>
      <c r="F107" s="1" t="s">
        <v>219</v>
      </c>
      <c r="G107" s="1" t="s">
        <v>219</v>
      </c>
      <c r="H107" s="1"/>
      <c r="I107" s="1">
        <v>245</v>
      </c>
      <c r="J107" s="5">
        <f t="shared" ref="J107" ca="1" si="10">WORKDAY(TODAY(),I107/8,1)</f>
        <v>46126</v>
      </c>
      <c r="K107" s="1"/>
      <c r="L107" s="2"/>
      <c r="M107" s="1"/>
      <c r="N107" s="1"/>
    </row>
    <row r="108" spans="1:14" ht="15" customHeight="1" x14ac:dyDescent="0.35">
      <c r="A108" s="1" t="s">
        <v>221</v>
      </c>
      <c r="B108" s="1" t="s">
        <v>16</v>
      </c>
      <c r="C108" s="3" t="s">
        <v>21</v>
      </c>
      <c r="D108" s="1" t="s">
        <v>219</v>
      </c>
      <c r="E108" s="1" t="s">
        <v>219</v>
      </c>
      <c r="F108" s="1" t="s">
        <v>219</v>
      </c>
      <c r="G108" s="1" t="s">
        <v>219</v>
      </c>
      <c r="H108" s="1"/>
      <c r="I108" s="1">
        <v>121</v>
      </c>
      <c r="J108" s="5">
        <f ca="1">WORKDAY(TODAY(),I108/8,1)</f>
        <v>46105</v>
      </c>
      <c r="K108" s="1"/>
      <c r="L108" s="2"/>
      <c r="M108" s="1"/>
      <c r="N108" s="1"/>
    </row>
    <row r="109" spans="1:14" ht="15" customHeight="1" x14ac:dyDescent="0.35">
      <c r="A109" s="1" t="s">
        <v>222</v>
      </c>
      <c r="B109" s="1" t="s">
        <v>20</v>
      </c>
      <c r="D109" s="1" t="s">
        <v>223</v>
      </c>
      <c r="E109" s="1" t="s">
        <v>223</v>
      </c>
      <c r="F109" s="1" t="s">
        <v>223</v>
      </c>
      <c r="G109" s="1" t="s">
        <v>223</v>
      </c>
      <c r="H109" s="1"/>
      <c r="I109" s="1">
        <v>96</v>
      </c>
      <c r="J109" s="5">
        <f t="shared" ref="J109:J111" ca="1" si="11">WORKDAY(TODAY(),I109/8,1)</f>
        <v>46100</v>
      </c>
      <c r="K109" s="1"/>
      <c r="L109" s="2"/>
      <c r="M109" s="1"/>
      <c r="N109" s="1"/>
    </row>
    <row r="110" spans="1:14" ht="15" customHeight="1" x14ac:dyDescent="0.35">
      <c r="A110" s="1" t="s">
        <v>231</v>
      </c>
      <c r="B110" s="1" t="s">
        <v>20</v>
      </c>
      <c r="C110" s="3" t="s">
        <v>29</v>
      </c>
      <c r="D110" s="1" t="s">
        <v>22</v>
      </c>
      <c r="E110" s="1" t="s">
        <v>22</v>
      </c>
      <c r="F110" s="1" t="s">
        <v>22</v>
      </c>
      <c r="G110" s="1" t="s">
        <v>22</v>
      </c>
      <c r="H110" s="1"/>
      <c r="I110" s="1">
        <v>600</v>
      </c>
      <c r="J110" s="5">
        <f ca="1">WORKDAY(TODAY(),I110/8,1)</f>
        <v>46189</v>
      </c>
      <c r="K110" s="1" t="s">
        <v>232</v>
      </c>
      <c r="L110" s="2"/>
      <c r="M110" s="1"/>
      <c r="N110" s="1"/>
    </row>
    <row r="111" spans="1:14" ht="15" customHeight="1" x14ac:dyDescent="0.35">
      <c r="A111" s="1" t="s">
        <v>233</v>
      </c>
      <c r="B111" s="1" t="s">
        <v>61</v>
      </c>
      <c r="C111" s="3" t="s">
        <v>29</v>
      </c>
      <c r="D111" s="1" t="s">
        <v>22</v>
      </c>
      <c r="E111" s="1" t="s">
        <v>22</v>
      </c>
      <c r="F111" s="1" t="s">
        <v>22</v>
      </c>
      <c r="G111" s="1" t="s">
        <v>22</v>
      </c>
      <c r="H111" s="1"/>
      <c r="I111" s="1">
        <v>300</v>
      </c>
      <c r="J111" s="5">
        <f t="shared" ca="1" si="11"/>
        <v>46135</v>
      </c>
      <c r="K111" s="1" t="s">
        <v>234</v>
      </c>
      <c r="L111" s="2"/>
      <c r="M111" s="1"/>
      <c r="N111" s="1"/>
    </row>
    <row r="112" spans="1:14" ht="15" customHeight="1" x14ac:dyDescent="0.35">
      <c r="A112" s="1" t="s">
        <v>251</v>
      </c>
      <c r="B112" s="1" t="s">
        <v>20</v>
      </c>
      <c r="C112" s="3" t="s">
        <v>29</v>
      </c>
      <c r="D112" s="1" t="s">
        <v>238</v>
      </c>
      <c r="E112" s="1" t="s">
        <v>238</v>
      </c>
      <c r="F112" s="1" t="s">
        <v>238</v>
      </c>
      <c r="G112" s="1" t="s">
        <v>238</v>
      </c>
      <c r="H112" s="1"/>
      <c r="I112" s="1">
        <v>514</v>
      </c>
      <c r="J112" s="5">
        <f ca="1">WORKDAY(TODAY(),I112/8,1)</f>
        <v>46174</v>
      </c>
      <c r="K112" s="1"/>
      <c r="L112" s="2"/>
      <c r="M112" s="1"/>
      <c r="N112" s="1"/>
    </row>
    <row r="113" spans="1:14" ht="15" customHeight="1" x14ac:dyDescent="0.35">
      <c r="A113" s="1" t="s">
        <v>240</v>
      </c>
      <c r="B113" s="1" t="s">
        <v>20</v>
      </c>
      <c r="C113" s="3" t="s">
        <v>29</v>
      </c>
      <c r="D113" s="1" t="s">
        <v>66</v>
      </c>
      <c r="E113" s="1" t="s">
        <v>66</v>
      </c>
      <c r="F113" s="1" t="s">
        <v>66</v>
      </c>
      <c r="G113" s="1" t="s">
        <v>66</v>
      </c>
      <c r="H113" s="1"/>
      <c r="I113" s="1"/>
      <c r="J113" s="5">
        <f t="shared" ref="J113" ca="1" si="12">WORKDAY(TODAY(),I113/8,1)</f>
        <v>46084</v>
      </c>
      <c r="K113" s="1" t="s">
        <v>249</v>
      </c>
      <c r="L113" s="2"/>
      <c r="M113" s="1"/>
      <c r="N113" s="1"/>
    </row>
    <row r="114" spans="1:14" ht="15" customHeight="1" x14ac:dyDescent="0.35">
      <c r="A114" s="1" t="s">
        <v>250</v>
      </c>
      <c r="B114" s="1" t="s">
        <v>20</v>
      </c>
      <c r="C114" s="3" t="s">
        <v>21</v>
      </c>
      <c r="D114" s="1" t="s">
        <v>242</v>
      </c>
      <c r="E114" s="1" t="s">
        <v>242</v>
      </c>
      <c r="F114" s="1" t="s">
        <v>242</v>
      </c>
      <c r="G114" s="1" t="s">
        <v>242</v>
      </c>
      <c r="H114" s="1"/>
      <c r="I114" s="1">
        <v>213</v>
      </c>
      <c r="J114" s="5">
        <f ca="1">WORKDAY(TODAY(),I114/8,1)</f>
        <v>46120</v>
      </c>
      <c r="K114" s="1"/>
      <c r="L114" s="2"/>
      <c r="M114" s="1"/>
      <c r="N114" s="1"/>
    </row>
    <row r="115" spans="1:14" ht="15" customHeight="1" x14ac:dyDescent="0.35">
      <c r="A115" s="1" t="s">
        <v>243</v>
      </c>
      <c r="B115" s="1" t="s">
        <v>20</v>
      </c>
      <c r="C115" s="3" t="s">
        <v>29</v>
      </c>
      <c r="D115" s="1" t="s">
        <v>106</v>
      </c>
      <c r="E115" s="1" t="s">
        <v>106</v>
      </c>
      <c r="F115" s="1" t="s">
        <v>106</v>
      </c>
      <c r="G115" s="1" t="s">
        <v>106</v>
      </c>
      <c r="H115" s="1"/>
      <c r="I115" s="1"/>
      <c r="J115" s="5">
        <f t="shared" ref="J115" ca="1" si="13">WORKDAY(TODAY(),I115/8,1)</f>
        <v>46084</v>
      </c>
      <c r="K115" s="1" t="s">
        <v>244</v>
      </c>
      <c r="L115" s="2"/>
      <c r="M115" s="1"/>
      <c r="N115" s="1"/>
    </row>
    <row r="116" spans="1:14" ht="15" customHeight="1" x14ac:dyDescent="0.35">
      <c r="A116" s="1" t="s">
        <v>245</v>
      </c>
      <c r="B116" s="1" t="s">
        <v>20</v>
      </c>
      <c r="C116" s="3" t="s">
        <v>29</v>
      </c>
      <c r="D116" s="1" t="s">
        <v>106</v>
      </c>
      <c r="E116" s="1" t="s">
        <v>106</v>
      </c>
      <c r="F116" s="1" t="s">
        <v>106</v>
      </c>
      <c r="G116" s="1" t="s">
        <v>106</v>
      </c>
      <c r="H116" s="1"/>
      <c r="I116" s="1"/>
      <c r="J116" s="5">
        <f ca="1">WORKDAY(TODAY(),I116/8,1)</f>
        <v>46084</v>
      </c>
      <c r="K116" s="1" t="s">
        <v>244</v>
      </c>
      <c r="L116" s="2"/>
      <c r="M116" s="1"/>
      <c r="N116" s="1"/>
    </row>
    <row r="117" spans="1:14" ht="15" customHeight="1" x14ac:dyDescent="0.35">
      <c r="A117" s="1" t="s">
        <v>246</v>
      </c>
      <c r="B117" s="1" t="s">
        <v>20</v>
      </c>
      <c r="C117" s="3" t="s">
        <v>29</v>
      </c>
      <c r="D117" s="1" t="s">
        <v>214</v>
      </c>
      <c r="E117" s="1" t="s">
        <v>214</v>
      </c>
      <c r="F117" s="1" t="s">
        <v>214</v>
      </c>
      <c r="G117" s="1" t="s">
        <v>214</v>
      </c>
      <c r="H117" s="1"/>
      <c r="I117" s="1"/>
      <c r="J117" s="5">
        <f t="shared" ref="J117" ca="1" si="14">WORKDAY(TODAY(),I117/8,1)</f>
        <v>46084</v>
      </c>
      <c r="K117" s="1" t="s">
        <v>247</v>
      </c>
      <c r="L117" s="2"/>
      <c r="M117" s="1"/>
      <c r="N117" s="1"/>
    </row>
    <row r="118" spans="1:14" ht="15" customHeight="1" x14ac:dyDescent="0.35">
      <c r="A118" s="1" t="s">
        <v>240</v>
      </c>
      <c r="B118" s="1" t="s">
        <v>20</v>
      </c>
      <c r="C118" s="3" t="s">
        <v>29</v>
      </c>
      <c r="D118" s="1" t="s">
        <v>66</v>
      </c>
      <c r="E118" s="1" t="s">
        <v>66</v>
      </c>
      <c r="F118" s="1" t="s">
        <v>66</v>
      </c>
      <c r="G118" s="1" t="s">
        <v>66</v>
      </c>
      <c r="H118" s="1"/>
      <c r="I118" s="1"/>
      <c r="J118" s="5">
        <f t="shared" ref="J118" ca="1" si="15">WORKDAY(TODAY(),I118/8,1)</f>
        <v>46084</v>
      </c>
      <c r="K118" s="1" t="s">
        <v>248</v>
      </c>
      <c r="L118" s="2"/>
      <c r="M118" s="1"/>
      <c r="N118" s="1"/>
    </row>
    <row r="119" spans="1:14" ht="15" customHeight="1" x14ac:dyDescent="0.35">
      <c r="A119" s="1" t="s">
        <v>257</v>
      </c>
      <c r="B119" s="1" t="s">
        <v>16</v>
      </c>
      <c r="C119" s="3" t="s">
        <v>29</v>
      </c>
      <c r="D119" s="1" t="s">
        <v>192</v>
      </c>
      <c r="E119" s="1" t="s">
        <v>192</v>
      </c>
      <c r="F119" s="1" t="s">
        <v>192</v>
      </c>
      <c r="G119" s="1" t="s">
        <v>192</v>
      </c>
      <c r="H119" s="1"/>
      <c r="I119" s="1"/>
      <c r="J119" s="5">
        <f ca="1">WORKDAY(TODAY(),I119/8,1)</f>
        <v>46084</v>
      </c>
      <c r="K119" s="1"/>
      <c r="L119" s="2"/>
      <c r="M119" s="1"/>
      <c r="N119" s="1"/>
    </row>
    <row r="120" spans="1:14" ht="15" customHeight="1" x14ac:dyDescent="0.35">
      <c r="A120" s="1" t="s">
        <v>258</v>
      </c>
      <c r="B120" s="1" t="s">
        <v>61</v>
      </c>
      <c r="C120" s="3" t="s">
        <v>17</v>
      </c>
      <c r="D120" s="1" t="s">
        <v>57</v>
      </c>
      <c r="E120" s="1" t="s">
        <v>57</v>
      </c>
      <c r="F120" s="1" t="s">
        <v>57</v>
      </c>
      <c r="G120" s="1" t="s">
        <v>57</v>
      </c>
      <c r="H120" s="1"/>
      <c r="I120" s="1"/>
      <c r="J120" s="5">
        <f t="shared" ref="J120" ca="1" si="16">WORKDAY(TODAY(),I120/8,1)</f>
        <v>46084</v>
      </c>
      <c r="K120" s="1"/>
      <c r="L120" s="2"/>
      <c r="M120" s="1"/>
      <c r="N120" s="1"/>
    </row>
    <row r="121" spans="1:14" ht="15" customHeight="1" x14ac:dyDescent="0.35">
      <c r="A121" s="1" t="s">
        <v>259</v>
      </c>
      <c r="B121" s="1" t="s">
        <v>273</v>
      </c>
      <c r="D121" s="1" t="s">
        <v>57</v>
      </c>
      <c r="E121" s="1" t="s">
        <v>57</v>
      </c>
      <c r="F121" s="1" t="s">
        <v>57</v>
      </c>
      <c r="G121" s="1" t="s">
        <v>57</v>
      </c>
      <c r="H121" s="1"/>
      <c r="I121" s="1"/>
      <c r="J121" s="5">
        <f ca="1">WORKDAY(TODAY(),I121/8,1)</f>
        <v>46084</v>
      </c>
      <c r="K121" s="1"/>
      <c r="L121" s="2"/>
      <c r="M121" s="1"/>
      <c r="N121" s="1"/>
    </row>
    <row r="122" spans="1:14" ht="15" customHeight="1" x14ac:dyDescent="0.35">
      <c r="A122" s="1" t="s">
        <v>260</v>
      </c>
      <c r="B122" s="1" t="s">
        <v>61</v>
      </c>
      <c r="D122" s="1" t="s">
        <v>57</v>
      </c>
      <c r="E122" s="1" t="s">
        <v>57</v>
      </c>
      <c r="F122" s="1" t="s">
        <v>57</v>
      </c>
      <c r="G122" s="1" t="s">
        <v>57</v>
      </c>
      <c r="H122" s="1"/>
      <c r="I122" s="1"/>
      <c r="J122" s="5">
        <f t="shared" ref="J122" ca="1" si="17">WORKDAY(TODAY(),I122/8,1)</f>
        <v>46084</v>
      </c>
      <c r="K122" s="1"/>
      <c r="L122" s="2"/>
      <c r="M122" s="1"/>
      <c r="N122" s="1"/>
    </row>
    <row r="123" spans="1:14" ht="15" customHeight="1" x14ac:dyDescent="0.35">
      <c r="A123" s="1" t="s">
        <v>261</v>
      </c>
      <c r="B123" s="1" t="s">
        <v>20</v>
      </c>
      <c r="D123" s="1" t="s">
        <v>57</v>
      </c>
      <c r="E123" s="1" t="s">
        <v>57</v>
      </c>
      <c r="F123" s="1" t="s">
        <v>57</v>
      </c>
      <c r="G123" s="1" t="s">
        <v>57</v>
      </c>
      <c r="H123" s="1"/>
      <c r="I123" s="1"/>
      <c r="J123" s="5">
        <f ca="1">WORKDAY(TODAY(),I123/8,1)</f>
        <v>46084</v>
      </c>
      <c r="K123" s="1"/>
      <c r="L123" s="2"/>
      <c r="M123" s="1"/>
      <c r="N123" s="1"/>
    </row>
    <row r="124" spans="1:14" ht="15" customHeight="1" x14ac:dyDescent="0.35">
      <c r="A124" s="1" t="s">
        <v>262</v>
      </c>
      <c r="B124" s="1" t="s">
        <v>273</v>
      </c>
      <c r="C124" s="3" t="s">
        <v>29</v>
      </c>
      <c r="D124" s="1" t="s">
        <v>57</v>
      </c>
      <c r="E124" s="1" t="s">
        <v>57</v>
      </c>
      <c r="F124" s="1" t="s">
        <v>57</v>
      </c>
      <c r="G124" s="1" t="s">
        <v>57</v>
      </c>
      <c r="H124" s="1"/>
      <c r="I124" s="1"/>
      <c r="J124" s="5">
        <f t="shared" ref="J124" ca="1" si="18">WORKDAY(TODAY(),I124/8,1)</f>
        <v>46084</v>
      </c>
      <c r="K124" s="1"/>
      <c r="L124" s="2"/>
      <c r="M124" s="1"/>
      <c r="N124" s="1"/>
    </row>
    <row r="125" spans="1:14" ht="15" customHeight="1" x14ac:dyDescent="0.35">
      <c r="A125" s="1" t="s">
        <v>263</v>
      </c>
      <c r="B125" s="1" t="s">
        <v>20</v>
      </c>
      <c r="D125" s="1" t="s">
        <v>57</v>
      </c>
      <c r="E125" s="1" t="s">
        <v>57</v>
      </c>
      <c r="F125" s="1" t="s">
        <v>57</v>
      </c>
      <c r="G125" s="1" t="s">
        <v>57</v>
      </c>
      <c r="H125" s="1"/>
      <c r="I125" s="1"/>
      <c r="J125" s="5">
        <f ca="1">WORKDAY(TODAY(),I125/8,1)</f>
        <v>46084</v>
      </c>
      <c r="K125" s="1"/>
      <c r="L125" s="2"/>
      <c r="M125" s="1"/>
      <c r="N125" s="1"/>
    </row>
    <row r="126" spans="1:14" ht="15" customHeight="1" x14ac:dyDescent="0.35">
      <c r="A126" s="1" t="s">
        <v>264</v>
      </c>
      <c r="B126" s="1" t="s">
        <v>273</v>
      </c>
      <c r="D126" s="1" t="s">
        <v>57</v>
      </c>
      <c r="E126" s="1" t="s">
        <v>57</v>
      </c>
      <c r="F126" s="1" t="s">
        <v>57</v>
      </c>
      <c r="G126" s="1" t="s">
        <v>57</v>
      </c>
      <c r="H126" s="1"/>
      <c r="I126" s="1"/>
      <c r="J126" s="5">
        <f t="shared" ref="J126" ca="1" si="19">WORKDAY(TODAY(),I126/8,1)</f>
        <v>46084</v>
      </c>
      <c r="K126" s="1"/>
      <c r="L126" s="2"/>
      <c r="M126" s="1"/>
      <c r="N126" s="1"/>
    </row>
    <row r="127" spans="1:14" ht="15" customHeight="1" x14ac:dyDescent="0.35">
      <c r="A127" s="1" t="s">
        <v>265</v>
      </c>
      <c r="B127" s="1" t="s">
        <v>273</v>
      </c>
      <c r="D127" s="1" t="s">
        <v>57</v>
      </c>
      <c r="E127" s="1" t="s">
        <v>57</v>
      </c>
      <c r="F127" s="1" t="s">
        <v>57</v>
      </c>
      <c r="G127" s="1" t="s">
        <v>57</v>
      </c>
      <c r="H127" s="1"/>
      <c r="I127" s="1"/>
      <c r="J127" s="5">
        <f ca="1">WORKDAY(TODAY(),I127/8,1)</f>
        <v>46084</v>
      </c>
      <c r="K127" s="1"/>
      <c r="L127" s="2"/>
      <c r="M127" s="1"/>
      <c r="N127" s="1"/>
    </row>
    <row r="128" spans="1:14" ht="15" customHeight="1" x14ac:dyDescent="0.35">
      <c r="A128" s="1" t="s">
        <v>266</v>
      </c>
      <c r="B128" s="1" t="s">
        <v>20</v>
      </c>
      <c r="D128" s="1" t="s">
        <v>57</v>
      </c>
      <c r="E128" s="1" t="s">
        <v>57</v>
      </c>
      <c r="F128" s="1" t="s">
        <v>57</v>
      </c>
      <c r="G128" s="1" t="s">
        <v>57</v>
      </c>
      <c r="H128" s="1"/>
      <c r="I128" s="1"/>
      <c r="J128" s="5">
        <f t="shared" ref="J128" ca="1" si="20">WORKDAY(TODAY(),I128/8,1)</f>
        <v>46084</v>
      </c>
      <c r="K128" s="1"/>
      <c r="L128" s="2"/>
      <c r="M128" s="1"/>
      <c r="N128" s="1"/>
    </row>
    <row r="129" spans="1:14" ht="15" customHeight="1" x14ac:dyDescent="0.35">
      <c r="A129" s="1" t="s">
        <v>267</v>
      </c>
      <c r="B129" s="1" t="s">
        <v>273</v>
      </c>
      <c r="D129" s="1" t="s">
        <v>57</v>
      </c>
      <c r="E129" s="1" t="s">
        <v>57</v>
      </c>
      <c r="F129" s="1" t="s">
        <v>57</v>
      </c>
      <c r="G129" s="1" t="s">
        <v>57</v>
      </c>
      <c r="H129" s="1"/>
      <c r="I129" s="1"/>
      <c r="J129" s="5">
        <f ca="1">WORKDAY(TODAY(),I129/8,1)</f>
        <v>46084</v>
      </c>
      <c r="K129" s="1"/>
      <c r="L129" s="2"/>
      <c r="M129" s="1"/>
      <c r="N129" s="1"/>
    </row>
    <row r="130" spans="1:14" ht="15" customHeight="1" x14ac:dyDescent="0.35">
      <c r="A130" s="1" t="s">
        <v>268</v>
      </c>
      <c r="B130" s="1" t="s">
        <v>16</v>
      </c>
      <c r="D130" s="1" t="s">
        <v>57</v>
      </c>
      <c r="E130" s="1" t="s">
        <v>57</v>
      </c>
      <c r="F130" s="1" t="s">
        <v>57</v>
      </c>
      <c r="G130" s="1" t="s">
        <v>57</v>
      </c>
      <c r="H130" s="1"/>
      <c r="I130" s="1"/>
      <c r="J130" s="5">
        <f t="shared" ref="J130" ca="1" si="21">WORKDAY(TODAY(),I130/8,1)</f>
        <v>46084</v>
      </c>
      <c r="K130" s="1"/>
      <c r="L130" s="2"/>
      <c r="M130" s="1"/>
      <c r="N130" s="1"/>
    </row>
    <row r="131" spans="1:14" ht="15" customHeight="1" x14ac:dyDescent="0.35">
      <c r="A131" s="1" t="s">
        <v>269</v>
      </c>
      <c r="B131" s="1" t="s">
        <v>20</v>
      </c>
      <c r="D131" s="1" t="s">
        <v>57</v>
      </c>
      <c r="E131" s="1" t="s">
        <v>57</v>
      </c>
      <c r="F131" s="1" t="s">
        <v>57</v>
      </c>
      <c r="G131" s="1" t="s">
        <v>57</v>
      </c>
      <c r="H131" s="1"/>
      <c r="I131" s="1"/>
      <c r="J131" s="5">
        <f ca="1">WORKDAY(TODAY(),I131/8,1)</f>
        <v>46084</v>
      </c>
      <c r="K131" s="1"/>
      <c r="L131" s="2"/>
      <c r="M131" s="1"/>
      <c r="N131" s="1"/>
    </row>
    <row r="132" spans="1:14" ht="15" customHeight="1" x14ac:dyDescent="0.35">
      <c r="A132" s="1" t="s">
        <v>270</v>
      </c>
      <c r="B132" s="1" t="s">
        <v>81</v>
      </c>
      <c r="D132" s="1" t="s">
        <v>57</v>
      </c>
      <c r="E132" s="1" t="s">
        <v>57</v>
      </c>
      <c r="F132" s="1" t="s">
        <v>57</v>
      </c>
      <c r="G132" s="1" t="s">
        <v>57</v>
      </c>
      <c r="H132" s="1"/>
      <c r="I132" s="1"/>
      <c r="J132" s="5">
        <f t="shared" ref="J132" ca="1" si="22">WORKDAY(TODAY(),I132/8,1)</f>
        <v>46084</v>
      </c>
      <c r="K132" s="1"/>
      <c r="L132" s="2"/>
      <c r="M132" s="1"/>
      <c r="N132" s="1"/>
    </row>
    <row r="133" spans="1:14" ht="15" customHeight="1" x14ac:dyDescent="0.35">
      <c r="A133" s="1" t="s">
        <v>271</v>
      </c>
      <c r="B133" s="1" t="s">
        <v>16</v>
      </c>
      <c r="D133" s="1" t="s">
        <v>57</v>
      </c>
      <c r="E133" s="1" t="s">
        <v>57</v>
      </c>
      <c r="F133" s="1" t="s">
        <v>57</v>
      </c>
      <c r="G133" s="1" t="s">
        <v>57</v>
      </c>
      <c r="H133" s="1"/>
      <c r="I133" s="1"/>
      <c r="J133" s="5">
        <f ca="1">WORKDAY(TODAY(),I133/8,1)</f>
        <v>46084</v>
      </c>
      <c r="K133" s="1"/>
      <c r="L133" s="2"/>
      <c r="M133" s="1"/>
      <c r="N133" s="1"/>
    </row>
    <row r="134" spans="1:14" ht="15" customHeight="1" x14ac:dyDescent="0.35">
      <c r="A134" s="1" t="s">
        <v>272</v>
      </c>
      <c r="B134" s="1" t="s">
        <v>20</v>
      </c>
      <c r="D134" s="1" t="s">
        <v>57</v>
      </c>
      <c r="E134" s="1" t="s">
        <v>57</v>
      </c>
      <c r="F134" s="1" t="s">
        <v>57</v>
      </c>
      <c r="G134" s="1" t="s">
        <v>57</v>
      </c>
      <c r="H134" s="1"/>
      <c r="I134" s="1"/>
      <c r="J134" s="5">
        <f t="shared" ref="J134:J136" ca="1" si="23">WORKDAY(TODAY(),I134/8,1)</f>
        <v>46084</v>
      </c>
      <c r="K134" s="1"/>
      <c r="L134" s="2"/>
      <c r="M134" s="1"/>
      <c r="N134" s="1"/>
    </row>
    <row r="135" spans="1:14" ht="15" customHeight="1" x14ac:dyDescent="0.35">
      <c r="A135" s="1" t="s">
        <v>275</v>
      </c>
      <c r="B135" s="1" t="s">
        <v>61</v>
      </c>
      <c r="C135" s="3" t="s">
        <v>11</v>
      </c>
      <c r="D135" s="1" t="s">
        <v>276</v>
      </c>
      <c r="E135" s="1" t="s">
        <v>276</v>
      </c>
      <c r="F135" s="1" t="s">
        <v>276</v>
      </c>
      <c r="G135" s="1" t="s">
        <v>276</v>
      </c>
      <c r="H135" s="1"/>
      <c r="I135" s="1"/>
      <c r="J135" s="5">
        <f ca="1">WORKDAY(TODAY(),I135/8,1)</f>
        <v>46084</v>
      </c>
      <c r="K135" s="1"/>
      <c r="L135" s="2"/>
      <c r="M135" s="1"/>
      <c r="N135" s="1"/>
    </row>
    <row r="136" spans="1:14" ht="15" customHeight="1" x14ac:dyDescent="0.35">
      <c r="A136" s="1" t="s">
        <v>277</v>
      </c>
      <c r="B136" s="1" t="s">
        <v>20</v>
      </c>
      <c r="D136" s="1" t="s">
        <v>278</v>
      </c>
      <c r="E136" s="1" t="s">
        <v>278</v>
      </c>
      <c r="F136" s="1" t="s">
        <v>278</v>
      </c>
      <c r="G136" s="1" t="s">
        <v>278</v>
      </c>
      <c r="H136" s="1"/>
      <c r="I136" s="1">
        <v>148</v>
      </c>
      <c r="J136" s="5">
        <f t="shared" ca="1" si="23"/>
        <v>46108</v>
      </c>
      <c r="K136" s="1"/>
      <c r="L136" s="2"/>
      <c r="M136" s="1"/>
      <c r="N136" s="1"/>
    </row>
    <row r="137" spans="1:14" ht="15" customHeight="1" x14ac:dyDescent="0.35">
      <c r="A137" s="1" t="s">
        <v>279</v>
      </c>
      <c r="B137" s="1" t="s">
        <v>20</v>
      </c>
      <c r="D137" s="1" t="s">
        <v>278</v>
      </c>
      <c r="E137" s="1" t="s">
        <v>278</v>
      </c>
      <c r="F137" s="1" t="s">
        <v>278</v>
      </c>
      <c r="G137" s="1" t="s">
        <v>278</v>
      </c>
      <c r="H137" s="1"/>
      <c r="I137" s="1">
        <v>180</v>
      </c>
      <c r="J137" s="5">
        <f ca="1">WORKDAY(TODAY(),I137/8,1)</f>
        <v>46114</v>
      </c>
      <c r="K137" s="1"/>
      <c r="L137" s="2"/>
      <c r="M137" s="1"/>
      <c r="N137" s="1"/>
    </row>
    <row r="138" spans="1:14" ht="15" customHeight="1" x14ac:dyDescent="0.35">
      <c r="A138" s="1" t="s">
        <v>280</v>
      </c>
      <c r="B138" s="1" t="s">
        <v>20</v>
      </c>
      <c r="D138" s="1" t="s">
        <v>278</v>
      </c>
      <c r="E138" s="1" t="s">
        <v>278</v>
      </c>
      <c r="F138" s="1" t="s">
        <v>278</v>
      </c>
      <c r="G138" s="1" t="s">
        <v>278</v>
      </c>
      <c r="H138" s="1"/>
      <c r="I138" s="1">
        <v>100</v>
      </c>
      <c r="J138" s="5">
        <f t="shared" ref="J138" ca="1" si="24">WORKDAY(TODAY(),I138/8,1)</f>
        <v>46100</v>
      </c>
      <c r="K138" s="1"/>
      <c r="L138" s="2"/>
      <c r="M138" s="1"/>
      <c r="N138" s="1"/>
    </row>
    <row r="139" spans="1:14" ht="15" customHeight="1" x14ac:dyDescent="0.35">
      <c r="H139" s="20"/>
    </row>
  </sheetData>
  <phoneticPr fontId="7" type="noConversion"/>
  <hyperlinks>
    <hyperlink ref="A80" r:id="rId1" tooltip="Sourabh Kale" display="https://uipath.lightning.force.com/lightning/r/0035b00003yQfeLAAS/view" xr:uid="{282818FD-985A-481C-AA24-5ECBEC38D4D5}"/>
  </hyperlinks>
  <pageMargins left="0.7" right="0.7" top="0.75" bottom="0.75" header="0.3" footer="0.3"/>
  <pageSetup orientation="portrait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 Utilization - Ram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Thiyagarajan S</dc:creator>
  <cp:keywords/>
  <dc:description/>
  <cp:lastModifiedBy>Thiyagarajan S</cp:lastModifiedBy>
  <cp:revision/>
  <dcterms:created xsi:type="dcterms:W3CDTF">2015-06-05T18:17:20Z</dcterms:created>
  <dcterms:modified xsi:type="dcterms:W3CDTF">2026-03-03T14:28:30Z</dcterms:modified>
  <cp:category/>
  <cp:contentStatus/>
</cp:coreProperties>
</file>