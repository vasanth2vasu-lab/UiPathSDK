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uipath-my.sharepoint.com/personal/thiyagarajan_s_uipath_com/Documents/US Projects/Latest Updates/2026/Master Workbook March 26/"/>
    </mc:Choice>
  </mc:AlternateContent>
  <xr:revisionPtr revIDLastSave="418" documentId="13_ncr:1_{EF0343D6-1D46-4917-B580-C27C0D7E7C3F}" xr6:coauthVersionLast="47" xr6:coauthVersionMax="47" xr10:uidLastSave="{74D1BC9D-13C6-4666-9377-F9091A23ACBA}"/>
  <bookViews>
    <workbookView xWindow="-110" yWindow="-110" windowWidth="19420" windowHeight="10300" xr2:uid="{096BB3DB-D94F-4989-B4D1-C6CE4B411C29}"/>
  </bookViews>
  <sheets>
    <sheet name="Updated as on 19 Feb 2026" sheetId="5" r:id="rId1"/>
    <sheet name="For Deck" sheetId="8" r:id="rId2"/>
  </sheets>
  <definedNames>
    <definedName name="_xlnm._FilterDatabase" localSheetId="0" hidden="1">'Updated as on 19 Feb 2026'!$B$2:$AA$5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10" i="5" l="1"/>
  <c r="AA9" i="5"/>
  <c r="Z9" i="5"/>
  <c r="Y9" i="5"/>
  <c r="X9" i="5"/>
  <c r="W9" i="5"/>
  <c r="AA8" i="5"/>
  <c r="Z8" i="5"/>
  <c r="Y8" i="5"/>
  <c r="X8" i="5"/>
  <c r="W8" i="5"/>
  <c r="L11" i="5"/>
  <c r="AA6" i="5" l="1"/>
  <c r="Z6" i="5"/>
  <c r="Y6" i="5"/>
  <c r="X6" i="5"/>
  <c r="W6" i="5"/>
  <c r="Z5" i="5" l="1"/>
  <c r="V11" i="5" l="1"/>
  <c r="U11" i="5"/>
  <c r="S11" i="5"/>
  <c r="R11" i="5"/>
  <c r="Q11" i="5"/>
  <c r="P11" i="5"/>
  <c r="N11" i="5"/>
  <c r="M11" i="5"/>
  <c r="AA5" i="5" l="1"/>
  <c r="Y5" i="5"/>
  <c r="X5" i="5"/>
  <c r="W5" i="5"/>
  <c r="O15" i="8"/>
  <c r="N15" i="8"/>
  <c r="M15" i="8"/>
  <c r="L15" i="8"/>
  <c r="W11" i="5" l="1"/>
  <c r="X11" i="5" l="1"/>
  <c r="AA11" i="5"/>
  <c r="Y11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tc={05507F5E-BB34-41A2-BF6F-4710C90BB238}</author>
    <author>tc={E5D9C082-8174-43C7-8EDF-1EA6006FA252}</author>
  </authors>
  <commentList>
    <comment ref="B5" authorId="0" shapeId="0" xr:uid="{05507F5E-BB34-41A2-BF6F-4710C90BB238}">
      <text>
        <t>[Threaded comment]
Your version of Excel allows you to read this threaded comment; however, any edits to it will get removed if the file is opened in a newer version of Excel. Learn more: https://go.microsoft.com/fwlink/?linkid=870924
Comment:
    Confirmation awaited on Staffing</t>
      </text>
    </comment>
    <comment ref="B6" authorId="1" shapeId="0" xr:uid="{E5D9C082-8174-43C7-8EDF-1EA6006FA252}">
      <text>
        <t>[Threaded comment]
Your version of Excel allows you to read this threaded comment; however, any edits to it will get removed if the file is opened in a newer version of Excel. Learn more: https://go.microsoft.com/fwlink/?linkid=870924
Comment:
    Agentic</t>
      </text>
    </comment>
  </commentList>
</comments>
</file>

<file path=xl/sharedStrings.xml><?xml version="1.0" encoding="utf-8"?>
<sst xmlns="http://schemas.openxmlformats.org/spreadsheetml/2006/main" count="142" uniqueCount="60">
  <si>
    <t>Staffing from</t>
  </si>
  <si>
    <t>Contract Type</t>
  </si>
  <si>
    <t>BA</t>
  </si>
  <si>
    <t>SA</t>
  </si>
  <si>
    <t>SOW Status</t>
  </si>
  <si>
    <t>India</t>
  </si>
  <si>
    <t>FP</t>
  </si>
  <si>
    <t>Signed</t>
  </si>
  <si>
    <t>India/US</t>
  </si>
  <si>
    <t>Actual Need (A)</t>
  </si>
  <si>
    <t>Allocation from project releases (B)</t>
  </si>
  <si>
    <t>Required Headcount After Factoring in Expected Releases (A-B)</t>
  </si>
  <si>
    <t>Customer Name</t>
  </si>
  <si>
    <t>Priority</t>
  </si>
  <si>
    <t>Tentative Start date</t>
  </si>
  <si>
    <t>Dev</t>
  </si>
  <si>
    <t xml:space="preserve">PM </t>
  </si>
  <si>
    <t>Projects people are released from</t>
  </si>
  <si>
    <t>P2</t>
  </si>
  <si>
    <t>SOW Value</t>
  </si>
  <si>
    <t xml:space="preserve">Requested on </t>
  </si>
  <si>
    <t>Requestor</t>
  </si>
  <si>
    <t>TBD</t>
  </si>
  <si>
    <t>P1</t>
  </si>
  <si>
    <t>Give Names by</t>
  </si>
  <si>
    <t>Service Credit</t>
  </si>
  <si>
    <t>Mark Weislow</t>
  </si>
  <si>
    <t>Avista  - Agengic</t>
  </si>
  <si>
    <t>Johnson Controls Inc.  JCI - PS for Field Service  Q-898052  V.6</t>
  </si>
  <si>
    <t>Spencer Miller</t>
  </si>
  <si>
    <t>T&amp;M</t>
  </si>
  <si>
    <t>Johnson Controls Inc.  JCI - PS for Field Service  Q-898052  V.6 - DU (using GenAI Extraction)</t>
  </si>
  <si>
    <t>WAB - Agentic</t>
  </si>
  <si>
    <t>Nolyn</t>
  </si>
  <si>
    <t>Service Credits</t>
  </si>
  <si>
    <t>Being estimated</t>
  </si>
  <si>
    <t>To Be Signed</t>
  </si>
  <si>
    <t>CIGNA-Hybrid-Service Credit Prepaid-100% Discounted-PR-010280</t>
  </si>
  <si>
    <t xml:space="preserve">Aditya </t>
  </si>
  <si>
    <t>Voya</t>
  </si>
  <si>
    <t>Lakshmi</t>
  </si>
  <si>
    <t>Edgewell Personal Care</t>
  </si>
  <si>
    <t>Anthony Gadd</t>
  </si>
  <si>
    <t>DENSO International Ameri-Time and Materials-Prepaid-010394</t>
  </si>
  <si>
    <t>DENSO International Ameri-Time and Materials-Prepaid-010396</t>
  </si>
  <si>
    <t>Patty</t>
  </si>
  <si>
    <t>Kristen</t>
  </si>
  <si>
    <t>Infra</t>
  </si>
  <si>
    <t>infra</t>
  </si>
  <si>
    <t>CAMC Health System-Fixed Price-Postpaid-011038</t>
  </si>
  <si>
    <t>Fixed Price PP</t>
  </si>
  <si>
    <t xml:space="preserve">Micron Agentic - Scoping - Malaysia </t>
  </si>
  <si>
    <t>Finthrive Agentic</t>
  </si>
  <si>
    <t>Aditya</t>
  </si>
  <si>
    <t>Deloitte</t>
  </si>
  <si>
    <t>yet to sign</t>
  </si>
  <si>
    <t>Deepika, Deeksha, Dev to be identified</t>
  </si>
  <si>
    <t>SA - Chaman
BA - Kuppuraj
Dev - Bala, Vasanth</t>
  </si>
  <si>
    <t>Apple</t>
  </si>
  <si>
    <t>Alain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</si>
</sst>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[$$-409]#,##0.00"/>
    <numFmt numFmtId="165" formatCode="0.0"/>
  </numFmts>
  <fonts count="13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b/>
      <sz val="8"/>
      <color rgb="FFFFFFFF"/>
      <name val="Arial"/>
      <family val="2"/>
    </font>
    <font>
      <b/>
      <sz val="8"/>
      <color theme="0"/>
      <name val="Arial"/>
      <family val="2"/>
    </font>
    <font>
      <b/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1"/>
      <name val="Aptos"/>
      <family val="2"/>
    </font>
    <font>
      <sz val="9"/>
      <color theme="1"/>
      <name val="Aptos Narrow"/>
      <family val="2"/>
      <scheme val="minor"/>
    </font>
    <font>
      <b/>
      <sz val="9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933692"/>
        <bgColor indexed="64"/>
      </patternFill>
    </fill>
    <fill>
      <patternFill patternType="solid">
        <fgColor rgb="FFFFFFCC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3" tint="0.249977111117893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medium">
        <color indexed="64"/>
      </left>
      <right style="thin">
        <color rgb="FFB2B2B2"/>
      </right>
      <top style="medium">
        <color indexed="64"/>
      </top>
      <bottom style="thin">
        <color rgb="FFB2B2B2"/>
      </bottom>
      <diagonal/>
    </border>
    <border>
      <left style="thin">
        <color rgb="FFB2B2B2"/>
      </left>
      <right style="thin">
        <color rgb="FFB2B2B2"/>
      </right>
      <top style="medium">
        <color indexed="64"/>
      </top>
      <bottom style="thin">
        <color rgb="FFB2B2B2"/>
      </bottom>
      <diagonal/>
    </border>
    <border>
      <left style="thin">
        <color rgb="FFB2B2B2"/>
      </left>
      <right style="medium">
        <color indexed="64"/>
      </right>
      <top style="medium">
        <color indexed="64"/>
      </top>
      <bottom style="thin">
        <color rgb="FFB2B2B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B2B2B2"/>
      </right>
      <top style="thin">
        <color rgb="FFB2B2B2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/>
      <diagonal/>
    </border>
    <border>
      <left style="thin">
        <color rgb="FFB2B2B2"/>
      </left>
      <right style="medium">
        <color indexed="64"/>
      </right>
      <top style="thin">
        <color rgb="FFB2B2B2"/>
      </top>
      <bottom/>
      <diagonal/>
    </border>
    <border>
      <left style="medium">
        <color indexed="64"/>
      </left>
      <right style="thin">
        <color rgb="FFB2B2B2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B2B2B2"/>
      </right>
      <top style="thin">
        <color rgb="FFB2B2B2"/>
      </top>
      <bottom style="medium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medium">
        <color indexed="64"/>
      </bottom>
      <diagonal/>
    </border>
    <border>
      <left style="thin">
        <color rgb="FFB2B2B2"/>
      </left>
      <right style="medium">
        <color indexed="64"/>
      </right>
      <top style="thin">
        <color rgb="FFB2B2B2"/>
      </top>
      <bottom style="medium">
        <color indexed="64"/>
      </bottom>
      <diagonal/>
    </border>
    <border>
      <left style="medium">
        <color indexed="64"/>
      </left>
      <right style="thin">
        <color rgb="FFB2B2B2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2B2B2"/>
      </left>
      <right/>
      <top style="medium">
        <color indexed="64"/>
      </top>
      <bottom style="thin">
        <color rgb="FFB2B2B2"/>
      </bottom>
      <diagonal/>
    </border>
    <border>
      <left style="thin">
        <color rgb="FFB2B2B2"/>
      </left>
      <right/>
      <top style="thin">
        <color rgb="FFB2B2B2"/>
      </top>
      <bottom/>
      <diagonal/>
    </border>
    <border>
      <left style="thin">
        <color rgb="FFB2B2B2"/>
      </left>
      <right/>
      <top style="thin">
        <color rgb="FFB2B2B2"/>
      </top>
      <bottom style="medium">
        <color indexed="64"/>
      </bottom>
      <diagonal/>
    </border>
  </borders>
  <cellStyleXfs count="6">
    <xf numFmtId="0" fontId="0" fillId="0" borderId="0"/>
    <xf numFmtId="0" fontId="1" fillId="0" borderId="0"/>
    <xf numFmtId="0" fontId="2" fillId="3" borderId="4" applyNumberFormat="0" applyFont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43" fontId="2" fillId="0" borderId="0" applyFont="0" applyFill="0" applyBorder="0" applyAlignment="0" applyProtection="0"/>
  </cellStyleXfs>
  <cellXfs count="73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vertical="center"/>
    </xf>
    <xf numFmtId="165" fontId="0" fillId="0" borderId="0" xfId="0" applyNumberFormat="1" applyAlignment="1">
      <alignment vertical="center"/>
    </xf>
    <xf numFmtId="0" fontId="4" fillId="2" borderId="9" xfId="0" applyFont="1" applyFill="1" applyBorder="1" applyAlignment="1">
      <alignment horizontal="center" vertical="center" wrapText="1" readingOrder="1"/>
    </xf>
    <xf numFmtId="0" fontId="4" fillId="2" borderId="10" xfId="0" applyFont="1" applyFill="1" applyBorder="1" applyAlignment="1">
      <alignment horizontal="center" vertical="center" wrapText="1" readingOrder="1"/>
    </xf>
    <xf numFmtId="0" fontId="4" fillId="2" borderId="12" xfId="0" applyFont="1" applyFill="1" applyBorder="1" applyAlignment="1">
      <alignment horizontal="center" vertical="center" wrapText="1" readingOrder="1"/>
    </xf>
    <xf numFmtId="0" fontId="7" fillId="6" borderId="10" xfId="4" applyFont="1" applyFill="1" applyBorder="1" applyAlignment="1">
      <alignment horizontal="center" vertical="center" wrapText="1" readingOrder="1"/>
    </xf>
    <xf numFmtId="0" fontId="7" fillId="6" borderId="11" xfId="4" applyFont="1" applyFill="1" applyBorder="1" applyAlignment="1">
      <alignment horizontal="center" vertical="center" wrapText="1" readingOrder="1"/>
    </xf>
    <xf numFmtId="0" fontId="8" fillId="0" borderId="0" xfId="0" applyFont="1"/>
    <xf numFmtId="0" fontId="9" fillId="0" borderId="2" xfId="0" applyFont="1" applyBorder="1" applyAlignment="1">
      <alignment vertical="center" wrapText="1"/>
    </xf>
    <xf numFmtId="0" fontId="9" fillId="0" borderId="1" xfId="0" applyFont="1" applyBorder="1" applyAlignment="1">
      <alignment vertical="center" wrapText="1"/>
    </xf>
    <xf numFmtId="0" fontId="9" fillId="0" borderId="1" xfId="0" applyFont="1" applyBorder="1" applyAlignment="1">
      <alignment horizontal="center" vertical="center" wrapText="1"/>
    </xf>
    <xf numFmtId="15" fontId="9" fillId="0" borderId="1" xfId="0" applyNumberFormat="1" applyFont="1" applyBorder="1" applyAlignment="1">
      <alignment horizontal="center" vertical="center" wrapText="1"/>
    </xf>
    <xf numFmtId="15" fontId="9" fillId="0" borderId="1" xfId="0" applyNumberFormat="1" applyFont="1" applyBorder="1" applyAlignment="1">
      <alignment horizontal="center" vertical="center"/>
    </xf>
    <xf numFmtId="164" fontId="9" fillId="0" borderId="1" xfId="0" applyNumberFormat="1" applyFont="1" applyBorder="1" applyAlignment="1">
      <alignment horizontal="right" vertical="center" wrapText="1"/>
    </xf>
    <xf numFmtId="0" fontId="9" fillId="0" borderId="3" xfId="0" applyFont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7" fillId="8" borderId="10" xfId="3" applyFont="1" applyFill="1" applyBorder="1" applyAlignment="1">
      <alignment horizontal="center" vertical="center" wrapText="1" readingOrder="1"/>
    </xf>
    <xf numFmtId="0" fontId="5" fillId="7" borderId="10" xfId="0" applyFont="1" applyFill="1" applyBorder="1" applyAlignment="1">
      <alignment horizontal="center" vertical="center" wrapText="1" readingOrder="1"/>
    </xf>
    <xf numFmtId="0" fontId="7" fillId="8" borderId="9" xfId="3" applyFont="1" applyFill="1" applyBorder="1" applyAlignment="1">
      <alignment horizontal="center" vertical="center" wrapText="1" readingOrder="1"/>
    </xf>
    <xf numFmtId="165" fontId="7" fillId="8" borderId="11" xfId="3" applyNumberFormat="1" applyFont="1" applyFill="1" applyBorder="1" applyAlignment="1">
      <alignment horizontal="center" vertical="center" wrapText="1" readingOrder="1"/>
    </xf>
    <xf numFmtId="0" fontId="5" fillId="7" borderId="9" xfId="0" applyFont="1" applyFill="1" applyBorder="1" applyAlignment="1">
      <alignment horizontal="center" vertical="center" wrapText="1" readingOrder="1"/>
    </xf>
    <xf numFmtId="0" fontId="5" fillId="7" borderId="11" xfId="0" applyFont="1" applyFill="1" applyBorder="1" applyAlignment="1">
      <alignment horizontal="center" vertical="center" wrapText="1" readingOrder="1"/>
    </xf>
    <xf numFmtId="0" fontId="7" fillId="6" borderId="9" xfId="4" applyFont="1" applyFill="1" applyBorder="1" applyAlignment="1">
      <alignment horizontal="center" vertical="center" wrapText="1" readingOrder="1"/>
    </xf>
    <xf numFmtId="165" fontId="9" fillId="0" borderId="1" xfId="0" applyNumberFormat="1" applyFont="1" applyBorder="1" applyAlignment="1">
      <alignment horizontal="center" vertical="center" wrapText="1"/>
    </xf>
    <xf numFmtId="43" fontId="0" fillId="0" borderId="0" xfId="5" applyFont="1" applyAlignment="1">
      <alignment vertical="center"/>
    </xf>
    <xf numFmtId="0" fontId="9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left" vertical="center" wrapText="1"/>
    </xf>
    <xf numFmtId="0" fontId="10" fillId="3" borderId="21" xfId="2" applyFont="1" applyBorder="1" applyAlignment="1">
      <alignment horizontal="center" vertical="center"/>
    </xf>
    <xf numFmtId="0" fontId="10" fillId="3" borderId="17" xfId="2" applyFont="1" applyBorder="1" applyAlignment="1">
      <alignment horizontal="center" vertical="center"/>
    </xf>
    <xf numFmtId="0" fontId="9" fillId="0" borderId="2" xfId="0" applyFont="1" applyBorder="1" applyAlignment="1">
      <alignment horizontal="left" vertical="center" wrapText="1"/>
    </xf>
    <xf numFmtId="164" fontId="9" fillId="0" borderId="1" xfId="0" applyNumberFormat="1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/>
    </xf>
    <xf numFmtId="0" fontId="9" fillId="0" borderId="0" xfId="0" applyFont="1" applyAlignment="1">
      <alignment horizontal="left" vertical="center" wrapText="1"/>
    </xf>
    <xf numFmtId="0" fontId="9" fillId="0" borderId="0" xfId="0" applyFont="1" applyAlignment="1">
      <alignment horizontal="center" vertical="center" wrapText="1"/>
    </xf>
    <xf numFmtId="15" fontId="9" fillId="0" borderId="0" xfId="0" applyNumberFormat="1" applyFont="1" applyAlignment="1">
      <alignment horizontal="center" vertical="center" wrapText="1"/>
    </xf>
    <xf numFmtId="15" fontId="9" fillId="0" borderId="0" xfId="0" applyNumberFormat="1" applyFont="1" applyAlignment="1">
      <alignment horizontal="center" vertical="center"/>
    </xf>
    <xf numFmtId="164" fontId="9" fillId="0" borderId="0" xfId="0" applyNumberFormat="1" applyFont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9" fillId="0" borderId="22" xfId="0" applyFont="1" applyBorder="1" applyAlignment="1">
      <alignment horizontal="center" vertical="center"/>
    </xf>
    <xf numFmtId="0" fontId="11" fillId="0" borderId="1" xfId="0" applyFont="1" applyBorder="1" applyAlignment="1">
      <alignment vertical="center" wrapText="1"/>
    </xf>
    <xf numFmtId="0" fontId="11" fillId="0" borderId="1" xfId="0" applyFont="1" applyBorder="1" applyAlignment="1">
      <alignment horizontal="center" vertical="center" wrapText="1"/>
    </xf>
    <xf numFmtId="15" fontId="11" fillId="0" borderId="1" xfId="0" applyNumberFormat="1" applyFont="1" applyBorder="1" applyAlignment="1">
      <alignment horizontal="center" vertical="center" wrapText="1"/>
    </xf>
    <xf numFmtId="15" fontId="11" fillId="0" borderId="1" xfId="0" applyNumberFormat="1" applyFont="1" applyBorder="1" applyAlignment="1">
      <alignment horizontal="center" vertical="center"/>
    </xf>
    <xf numFmtId="164" fontId="11" fillId="0" borderId="1" xfId="0" applyNumberFormat="1" applyFont="1" applyBorder="1" applyAlignment="1">
      <alignment horizontal="right" vertical="center" wrapText="1"/>
    </xf>
    <xf numFmtId="0" fontId="11" fillId="0" borderId="2" xfId="0" applyFont="1" applyBorder="1" applyAlignment="1">
      <alignment horizontal="center" vertical="center" wrapText="1"/>
    </xf>
    <xf numFmtId="165" fontId="11" fillId="0" borderId="1" xfId="0" applyNumberFormat="1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left" vertical="center" wrapText="1"/>
    </xf>
    <xf numFmtId="0" fontId="12" fillId="3" borderId="16" xfId="2" applyFont="1" applyBorder="1" applyAlignment="1">
      <alignment horizontal="center" vertical="center"/>
    </xf>
    <xf numFmtId="0" fontId="11" fillId="0" borderId="23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165" fontId="11" fillId="0" borderId="8" xfId="0" applyNumberFormat="1" applyFont="1" applyBorder="1" applyAlignment="1">
      <alignment horizontal="center" vertical="center" wrapText="1"/>
    </xf>
    <xf numFmtId="0" fontId="7" fillId="8" borderId="12" xfId="3" applyFont="1" applyFill="1" applyBorder="1" applyAlignment="1">
      <alignment horizontal="center" vertical="center" wrapText="1" readingOrder="1"/>
    </xf>
    <xf numFmtId="0" fontId="7" fillId="6" borderId="12" xfId="4" applyFont="1" applyFill="1" applyBorder="1" applyAlignment="1">
      <alignment horizontal="center" vertical="center" wrapText="1" readingOrder="1"/>
    </xf>
    <xf numFmtId="0" fontId="6" fillId="3" borderId="5" xfId="2" applyFont="1" applyBorder="1" applyAlignment="1">
      <alignment horizontal="center" vertical="center"/>
    </xf>
    <xf numFmtId="0" fontId="6" fillId="3" borderId="6" xfId="2" applyFont="1" applyBorder="1" applyAlignment="1">
      <alignment horizontal="center" vertical="center"/>
    </xf>
    <xf numFmtId="0" fontId="6" fillId="3" borderId="24" xfId="2" applyFont="1" applyBorder="1" applyAlignment="1">
      <alignment horizontal="center" vertical="center"/>
    </xf>
    <xf numFmtId="0" fontId="6" fillId="3" borderId="7" xfId="2" applyFont="1" applyBorder="1" applyAlignment="1">
      <alignment horizontal="center" vertical="center"/>
    </xf>
    <xf numFmtId="0" fontId="6" fillId="3" borderId="13" xfId="2" applyFont="1" applyBorder="1" applyAlignment="1">
      <alignment horizontal="center" vertical="center"/>
    </xf>
    <xf numFmtId="0" fontId="6" fillId="3" borderId="14" xfId="2" applyFont="1" applyBorder="1" applyAlignment="1">
      <alignment horizontal="center" vertical="center"/>
    </xf>
    <xf numFmtId="0" fontId="6" fillId="3" borderId="25" xfId="2" applyFont="1" applyBorder="1" applyAlignment="1">
      <alignment horizontal="center" vertical="center"/>
    </xf>
    <xf numFmtId="0" fontId="6" fillId="3" borderId="15" xfId="2" applyFont="1" applyBorder="1" applyAlignment="1">
      <alignment horizontal="center" vertical="center"/>
    </xf>
    <xf numFmtId="0" fontId="6" fillId="3" borderId="5" xfId="2" applyFont="1" applyBorder="1" applyAlignment="1">
      <alignment horizontal="center" vertical="center" wrapText="1"/>
    </xf>
    <xf numFmtId="0" fontId="6" fillId="3" borderId="6" xfId="2" applyFont="1" applyBorder="1" applyAlignment="1">
      <alignment horizontal="center" vertical="center" wrapText="1"/>
    </xf>
    <xf numFmtId="0" fontId="6" fillId="3" borderId="24" xfId="2" applyFont="1" applyBorder="1" applyAlignment="1">
      <alignment horizontal="center" vertical="center" wrapText="1"/>
    </xf>
    <xf numFmtId="0" fontId="6" fillId="3" borderId="7" xfId="2" applyFont="1" applyBorder="1" applyAlignment="1">
      <alignment horizontal="center" vertical="center" wrapText="1"/>
    </xf>
    <xf numFmtId="0" fontId="6" fillId="3" borderId="18" xfId="2" applyFont="1" applyBorder="1" applyAlignment="1">
      <alignment horizontal="center" vertical="center" wrapText="1"/>
    </xf>
    <xf numFmtId="0" fontId="6" fillId="3" borderId="19" xfId="2" applyFont="1" applyBorder="1" applyAlignment="1">
      <alignment horizontal="center" vertical="center" wrapText="1"/>
    </xf>
    <xf numFmtId="0" fontId="6" fillId="3" borderId="26" xfId="2" applyFont="1" applyBorder="1" applyAlignment="1">
      <alignment horizontal="center" vertical="center" wrapText="1"/>
    </xf>
    <xf numFmtId="0" fontId="6" fillId="3" borderId="20" xfId="2" applyFont="1" applyBorder="1" applyAlignment="1">
      <alignment horizontal="center" vertical="center" wrapText="1"/>
    </xf>
  </cellXfs>
  <cellStyles count="6">
    <cellStyle name="60% - Accent1" xfId="3" builtinId="32"/>
    <cellStyle name="60% - Accent5" xfId="4" builtinId="48"/>
    <cellStyle name="Comma" xfId="5" builtinId="3"/>
    <cellStyle name="Normal" xfId="0" builtinId="0"/>
    <cellStyle name="Normal 2" xfId="1" xr:uid="{D33D573B-2124-47BA-9C69-B378D440BE39}"/>
    <cellStyle name="Note" xfId="2" builtin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Thiyagarajan S" id="{00FC0A94-878B-4D66-A4D1-FAF150E37957}" userId="S::thiyagarajan.s@uipath.com::5af77d0c-c169-4bcb-b34d-aba916ede585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5" dT="2025-10-17T05:33:52.69" personId="{00FC0A94-878B-4D66-A4D1-FAF150E37957}" id="{05507F5E-BB34-41A2-BF6F-4710C90BB238}">
    <text>Confirmation awaited on Staffing</text>
  </threadedComment>
  <threadedComment ref="B6" dT="2026-01-13T17:33:30.29" personId="{00FC0A94-878B-4D66-A4D1-FAF150E37957}" id="{E5D9C082-8174-43C7-8EDF-1EA6006FA252}">
    <text>Agentic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4B44F8-7861-40D8-A4DD-479A6AD85709}">
  <dimension ref="B1:AA23"/>
  <sheetViews>
    <sheetView showGridLines="0" tabSelected="1" workbookViewId="0">
      <pane xSplit="11" ySplit="4" topLeftCell="R5" activePane="bottomRight" state="frozen"/>
      <selection pane="topRight" activeCell="J1" sqref="J1"/>
      <selection pane="bottomLeft" activeCell="A5" sqref="A5"/>
      <selection pane="bottomRight" activeCell="T9" sqref="T9"/>
    </sheetView>
  </sheetViews>
  <sheetFormatPr defaultColWidth="8.7265625" defaultRowHeight="14.5" x14ac:dyDescent="0.35"/>
  <cols>
    <col min="1" max="1" width="4.1796875" style="1" customWidth="1"/>
    <col min="2" max="2" width="27.6328125" style="1" customWidth="1"/>
    <col min="3" max="3" width="23.6328125" style="1" bestFit="1" customWidth="1"/>
    <col min="4" max="4" width="5.81640625" style="2" bestFit="1" customWidth="1"/>
    <col min="5" max="5" width="10.81640625" style="2" bestFit="1" customWidth="1"/>
    <col min="6" max="6" width="11.453125" style="1" customWidth="1"/>
    <col min="7" max="8" width="11.90625" style="1" customWidth="1"/>
    <col min="9" max="9" width="8.81640625" style="2" bestFit="1" customWidth="1"/>
    <col min="10" max="10" width="12.7265625" style="2" customWidth="1"/>
    <col min="11" max="11" width="9.08984375" style="2" bestFit="1" customWidth="1"/>
    <col min="12" max="15" width="7.08984375" style="1" customWidth="1"/>
    <col min="16" max="16" width="7.08984375" style="4" customWidth="1"/>
    <col min="17" max="21" width="7.08984375" style="1" customWidth="1"/>
    <col min="22" max="22" width="14.90625" style="1" customWidth="1"/>
    <col min="23" max="27" width="7.08984375" style="1" customWidth="1"/>
    <col min="28" max="16384" width="8.7265625" style="1"/>
  </cols>
  <sheetData>
    <row r="1" spans="2:27" ht="15" thickBot="1" x14ac:dyDescent="0.4"/>
    <row r="2" spans="2:27" x14ac:dyDescent="0.35">
      <c r="L2" s="57" t="s">
        <v>9</v>
      </c>
      <c r="M2" s="58"/>
      <c r="N2" s="58"/>
      <c r="O2" s="59"/>
      <c r="P2" s="60"/>
      <c r="Q2" s="57" t="s">
        <v>10</v>
      </c>
      <c r="R2" s="58"/>
      <c r="S2" s="58"/>
      <c r="T2" s="58"/>
      <c r="U2" s="58"/>
      <c r="V2" s="60"/>
      <c r="W2" s="65" t="s">
        <v>11</v>
      </c>
      <c r="X2" s="66"/>
      <c r="Y2" s="66"/>
      <c r="Z2" s="67"/>
      <c r="AA2" s="68"/>
    </row>
    <row r="3" spans="2:27" ht="15" thickBot="1" x14ac:dyDescent="0.4">
      <c r="L3" s="61"/>
      <c r="M3" s="62"/>
      <c r="N3" s="62"/>
      <c r="O3" s="63"/>
      <c r="P3" s="64"/>
      <c r="Q3" s="61"/>
      <c r="R3" s="62"/>
      <c r="S3" s="62"/>
      <c r="T3" s="62"/>
      <c r="U3" s="62"/>
      <c r="V3" s="64"/>
      <c r="W3" s="69"/>
      <c r="X3" s="70"/>
      <c r="Y3" s="70"/>
      <c r="Z3" s="71"/>
      <c r="AA3" s="72"/>
    </row>
    <row r="4" spans="2:27" s="3" customFormat="1" ht="21" x14ac:dyDescent="0.35">
      <c r="B4" s="5" t="s">
        <v>12</v>
      </c>
      <c r="C4" s="6" t="s">
        <v>21</v>
      </c>
      <c r="D4" s="6" t="s">
        <v>13</v>
      </c>
      <c r="E4" s="6" t="s">
        <v>20</v>
      </c>
      <c r="F4" s="6" t="s">
        <v>0</v>
      </c>
      <c r="G4" s="6" t="s">
        <v>1</v>
      </c>
      <c r="H4" s="6" t="s">
        <v>24</v>
      </c>
      <c r="I4" s="6" t="s">
        <v>14</v>
      </c>
      <c r="J4" s="6" t="s">
        <v>19</v>
      </c>
      <c r="K4" s="7" t="s">
        <v>4</v>
      </c>
      <c r="L4" s="21" t="s">
        <v>15</v>
      </c>
      <c r="M4" s="19" t="s">
        <v>2</v>
      </c>
      <c r="N4" s="19" t="s">
        <v>3</v>
      </c>
      <c r="O4" s="55" t="s">
        <v>47</v>
      </c>
      <c r="P4" s="22" t="s">
        <v>16</v>
      </c>
      <c r="Q4" s="23" t="s">
        <v>15</v>
      </c>
      <c r="R4" s="20" t="s">
        <v>2</v>
      </c>
      <c r="S4" s="20" t="s">
        <v>3</v>
      </c>
      <c r="T4" s="20" t="s">
        <v>47</v>
      </c>
      <c r="U4" s="20" t="s">
        <v>16</v>
      </c>
      <c r="V4" s="24" t="s">
        <v>17</v>
      </c>
      <c r="W4" s="25" t="s">
        <v>15</v>
      </c>
      <c r="X4" s="8" t="s">
        <v>2</v>
      </c>
      <c r="Y4" s="8" t="s">
        <v>3</v>
      </c>
      <c r="Z4" s="56" t="s">
        <v>48</v>
      </c>
      <c r="AA4" s="9" t="s">
        <v>16</v>
      </c>
    </row>
    <row r="5" spans="2:27" s="18" customFormat="1" ht="12" x14ac:dyDescent="0.35">
      <c r="B5" s="42" t="s">
        <v>41</v>
      </c>
      <c r="C5" s="42" t="s">
        <v>42</v>
      </c>
      <c r="D5" s="43" t="s">
        <v>23</v>
      </c>
      <c r="E5" s="44">
        <v>45890</v>
      </c>
      <c r="F5" s="43" t="s">
        <v>8</v>
      </c>
      <c r="G5" s="43" t="s">
        <v>25</v>
      </c>
      <c r="H5" s="44" t="s">
        <v>22</v>
      </c>
      <c r="I5" s="45" t="s">
        <v>22</v>
      </c>
      <c r="J5" s="46">
        <v>25000</v>
      </c>
      <c r="K5" s="53" t="s">
        <v>7</v>
      </c>
      <c r="L5" s="52">
        <v>1</v>
      </c>
      <c r="M5" s="48">
        <v>0.5</v>
      </c>
      <c r="N5" s="48">
        <v>0.5</v>
      </c>
      <c r="O5" s="48"/>
      <c r="P5" s="48">
        <v>0.5</v>
      </c>
      <c r="Q5" s="47"/>
      <c r="R5" s="48"/>
      <c r="S5" s="48"/>
      <c r="T5" s="48"/>
      <c r="U5" s="48"/>
      <c r="V5" s="50"/>
      <c r="W5" s="47">
        <f t="shared" ref="W5" si="0">L5-Q5</f>
        <v>1</v>
      </c>
      <c r="X5" s="43">
        <f t="shared" ref="X5" si="1">M5-R5</f>
        <v>0.5</v>
      </c>
      <c r="Y5" s="43">
        <f t="shared" ref="Y5" si="2">N5-S5</f>
        <v>0.5</v>
      </c>
      <c r="Z5" s="54">
        <f t="shared" ref="Z5" si="3">O5-T5</f>
        <v>0</v>
      </c>
      <c r="AA5" s="49">
        <f t="shared" ref="AA5" si="4">P5-U5</f>
        <v>0.5</v>
      </c>
    </row>
    <row r="6" spans="2:27" s="18" customFormat="1" ht="30" x14ac:dyDescent="0.35">
      <c r="B6" s="42" t="s">
        <v>49</v>
      </c>
      <c r="C6" s="42" t="s">
        <v>46</v>
      </c>
      <c r="D6" s="43" t="s">
        <v>23</v>
      </c>
      <c r="E6" s="44">
        <v>45670</v>
      </c>
      <c r="F6" s="43" t="s">
        <v>8</v>
      </c>
      <c r="G6" s="43" t="s">
        <v>50</v>
      </c>
      <c r="H6" s="44" t="s">
        <v>22</v>
      </c>
      <c r="I6" s="45" t="s">
        <v>22</v>
      </c>
      <c r="J6" s="46">
        <v>165480</v>
      </c>
      <c r="K6" s="53" t="s">
        <v>7</v>
      </c>
      <c r="L6" s="52">
        <v>2</v>
      </c>
      <c r="M6" s="48">
        <v>0.5</v>
      </c>
      <c r="N6" s="48">
        <v>0.5</v>
      </c>
      <c r="O6" s="54"/>
      <c r="P6" s="49"/>
      <c r="Q6" s="47"/>
      <c r="R6" s="48"/>
      <c r="S6" s="48"/>
      <c r="T6" s="48"/>
      <c r="U6" s="48"/>
      <c r="V6" s="50" t="s">
        <v>57</v>
      </c>
      <c r="W6" s="47">
        <f t="shared" ref="W6" si="5">L6-Q6</f>
        <v>2</v>
      </c>
      <c r="X6" s="43">
        <f t="shared" ref="X6" si="6">M6-R6</f>
        <v>0.5</v>
      </c>
      <c r="Y6" s="43">
        <f t="shared" ref="Y6" si="7">N6-S6</f>
        <v>0.5</v>
      </c>
      <c r="Z6" s="54">
        <f t="shared" ref="Z6" si="8">O6-T6</f>
        <v>0</v>
      </c>
      <c r="AA6" s="49">
        <f t="shared" ref="AA6" si="9">P6-U6</f>
        <v>0</v>
      </c>
    </row>
    <row r="7" spans="2:27" s="18" customFormat="1" ht="20.5" customHeight="1" x14ac:dyDescent="0.35">
      <c r="B7" s="42" t="s">
        <v>51</v>
      </c>
      <c r="C7" s="42" t="s">
        <v>42</v>
      </c>
      <c r="D7" s="43"/>
      <c r="E7" s="44">
        <v>46074</v>
      </c>
      <c r="F7" s="43" t="s">
        <v>5</v>
      </c>
      <c r="G7" s="43" t="s">
        <v>22</v>
      </c>
      <c r="H7" s="44" t="s">
        <v>22</v>
      </c>
      <c r="I7" s="45" t="s">
        <v>22</v>
      </c>
      <c r="J7" s="46" t="s">
        <v>22</v>
      </c>
      <c r="K7" s="53" t="s">
        <v>22</v>
      </c>
      <c r="L7" s="52"/>
      <c r="M7" s="48"/>
      <c r="N7" s="48"/>
      <c r="O7" s="54"/>
      <c r="P7" s="49"/>
      <c r="Q7" s="47"/>
      <c r="R7" s="48"/>
      <c r="S7" s="48"/>
      <c r="T7" s="48"/>
      <c r="U7" s="48"/>
      <c r="V7" s="50"/>
      <c r="W7" s="47"/>
      <c r="X7" s="43"/>
      <c r="Y7" s="43"/>
      <c r="Z7" s="54"/>
      <c r="AA7" s="49"/>
    </row>
    <row r="8" spans="2:27" s="18" customFormat="1" ht="20.5" customHeight="1" x14ac:dyDescent="0.35">
      <c r="B8" s="42" t="s">
        <v>52</v>
      </c>
      <c r="C8" s="42" t="s">
        <v>53</v>
      </c>
      <c r="D8" s="43" t="s">
        <v>18</v>
      </c>
      <c r="E8" s="44">
        <v>46086</v>
      </c>
      <c r="F8" s="43" t="s">
        <v>8</v>
      </c>
      <c r="G8" s="43" t="s">
        <v>25</v>
      </c>
      <c r="H8" s="44">
        <v>46104</v>
      </c>
      <c r="I8" s="45">
        <v>46113</v>
      </c>
      <c r="J8" s="46"/>
      <c r="K8" s="53" t="s">
        <v>7</v>
      </c>
      <c r="L8" s="52">
        <v>1</v>
      </c>
      <c r="M8" s="48"/>
      <c r="N8" s="48">
        <v>0.5</v>
      </c>
      <c r="O8" s="54"/>
      <c r="P8" s="49"/>
      <c r="Q8" s="47"/>
      <c r="R8" s="48"/>
      <c r="S8" s="48"/>
      <c r="T8" s="48"/>
      <c r="U8" s="48"/>
      <c r="V8" s="50"/>
      <c r="W8" s="47">
        <f t="shared" ref="W8" si="10">L8-Q8</f>
        <v>1</v>
      </c>
      <c r="X8" s="43">
        <f t="shared" ref="X8" si="11">M8-R8</f>
        <v>0</v>
      </c>
      <c r="Y8" s="43">
        <f t="shared" ref="Y8" si="12">N8-S8</f>
        <v>0.5</v>
      </c>
      <c r="Z8" s="54">
        <f t="shared" ref="Z8" si="13">O8-T8</f>
        <v>0</v>
      </c>
      <c r="AA8" s="49">
        <f t="shared" ref="AA8" si="14">P8-U8</f>
        <v>0</v>
      </c>
    </row>
    <row r="9" spans="2:27" s="18" customFormat="1" ht="20.5" customHeight="1" x14ac:dyDescent="0.35">
      <c r="B9" s="42" t="s">
        <v>54</v>
      </c>
      <c r="C9" s="42" t="s">
        <v>42</v>
      </c>
      <c r="D9" s="43" t="s">
        <v>18</v>
      </c>
      <c r="E9" s="44">
        <v>46084</v>
      </c>
      <c r="F9" s="43" t="s">
        <v>5</v>
      </c>
      <c r="G9" s="43" t="s">
        <v>30</v>
      </c>
      <c r="H9" s="44" t="s">
        <v>22</v>
      </c>
      <c r="I9" s="45" t="s">
        <v>22</v>
      </c>
      <c r="J9" s="46">
        <v>16000</v>
      </c>
      <c r="K9" s="53" t="s">
        <v>55</v>
      </c>
      <c r="L9" s="52">
        <v>1</v>
      </c>
      <c r="M9" s="48">
        <v>0.5</v>
      </c>
      <c r="N9" s="48">
        <v>0.5</v>
      </c>
      <c r="O9" s="54"/>
      <c r="P9" s="49"/>
      <c r="Q9" s="47"/>
      <c r="R9" s="48">
        <v>0.5</v>
      </c>
      <c r="S9" s="48">
        <v>0.5</v>
      </c>
      <c r="T9" s="48"/>
      <c r="U9" s="48"/>
      <c r="V9" s="50" t="s">
        <v>56</v>
      </c>
      <c r="W9" s="47">
        <f t="shared" ref="W9" si="15">L9-Q9</f>
        <v>1</v>
      </c>
      <c r="X9" s="43">
        <f t="shared" ref="X9" si="16">M9-R9</f>
        <v>0</v>
      </c>
      <c r="Y9" s="43">
        <f t="shared" ref="Y9:Y10" si="17">N9-S9</f>
        <v>0</v>
      </c>
      <c r="Z9" s="54">
        <f t="shared" ref="Z9" si="18">O9-T9</f>
        <v>0</v>
      </c>
      <c r="AA9" s="49">
        <f t="shared" ref="AA9" si="19">P9-U9</f>
        <v>0</v>
      </c>
    </row>
    <row r="10" spans="2:27" s="18" customFormat="1" ht="20.5" customHeight="1" x14ac:dyDescent="0.35">
      <c r="B10" s="42" t="s">
        <v>58</v>
      </c>
      <c r="C10" s="42" t="s">
        <v>59</v>
      </c>
      <c r="D10" s="43" t="s">
        <v>18</v>
      </c>
      <c r="E10" s="44">
        <v>46087</v>
      </c>
      <c r="F10" s="43" t="s">
        <v>5</v>
      </c>
      <c r="G10" s="43" t="s">
        <v>25</v>
      </c>
      <c r="H10" s="44"/>
      <c r="I10" s="45"/>
      <c r="J10" s="46"/>
      <c r="K10" s="53" t="s">
        <v>7</v>
      </c>
      <c r="L10" s="52"/>
      <c r="M10" s="48"/>
      <c r="N10" s="48">
        <v>1</v>
      </c>
      <c r="O10" s="54"/>
      <c r="P10" s="49"/>
      <c r="Q10" s="47"/>
      <c r="R10" s="48"/>
      <c r="S10" s="48"/>
      <c r="T10" s="48"/>
      <c r="U10" s="48"/>
      <c r="V10" s="50"/>
      <c r="W10" s="47"/>
      <c r="X10" s="43"/>
      <c r="Y10" s="43">
        <f t="shared" si="17"/>
        <v>1</v>
      </c>
      <c r="Z10" s="54"/>
      <c r="AA10" s="49"/>
    </row>
    <row r="11" spans="2:27" ht="15" thickBot="1" x14ac:dyDescent="0.4">
      <c r="L11" s="51">
        <f>SUM(L5:L6)</f>
        <v>3</v>
      </c>
      <c r="M11" s="51">
        <f>SUM(M5:M5)</f>
        <v>0.5</v>
      </c>
      <c r="N11" s="51">
        <f>SUM(N5:N5)</f>
        <v>0.5</v>
      </c>
      <c r="O11" s="51"/>
      <c r="P11" s="51">
        <f>SUM(P5:P5)</f>
        <v>0.5</v>
      </c>
      <c r="Q11" s="51">
        <f>SUM(Q5:Q5)</f>
        <v>0</v>
      </c>
      <c r="R11" s="51">
        <f>SUM(R5:R5)</f>
        <v>0</v>
      </c>
      <c r="S11" s="51">
        <f>SUM(S5:S5)</f>
        <v>0</v>
      </c>
      <c r="T11" s="51"/>
      <c r="U11" s="51">
        <f>SUM(U5:U5)</f>
        <v>0</v>
      </c>
      <c r="V11" s="51">
        <f>SUM(V5:V5)</f>
        <v>0</v>
      </c>
      <c r="W11" s="51">
        <f>SUM(W5:W6)</f>
        <v>3</v>
      </c>
      <c r="X11" s="51">
        <f>SUM(X5:X5)</f>
        <v>0.5</v>
      </c>
      <c r="Y11" s="51">
        <f>SUM(Y5:Y5)</f>
        <v>0.5</v>
      </c>
      <c r="Z11" s="51"/>
      <c r="AA11" s="51">
        <f>SUM(AA5:AA5)</f>
        <v>0.5</v>
      </c>
    </row>
    <row r="12" spans="2:27" x14ac:dyDescent="0.35">
      <c r="B12" s="10"/>
    </row>
    <row r="13" spans="2:27" x14ac:dyDescent="0.35">
      <c r="E13" s="1"/>
      <c r="F13" s="2"/>
      <c r="G13" s="2"/>
    </row>
    <row r="14" spans="2:27" x14ac:dyDescent="0.35">
      <c r="E14" s="1"/>
      <c r="F14" s="2"/>
      <c r="G14" s="2"/>
    </row>
    <row r="15" spans="2:27" x14ac:dyDescent="0.35">
      <c r="D15" s="1"/>
      <c r="E15" s="1"/>
      <c r="G15" s="2"/>
    </row>
    <row r="23" spans="3:3" x14ac:dyDescent="0.35">
      <c r="C23" s="27"/>
    </row>
  </sheetData>
  <mergeCells count="3">
    <mergeCell ref="L2:P3"/>
    <mergeCell ref="Q2:V3"/>
    <mergeCell ref="W2:AA3"/>
  </mergeCells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83C328-E6D3-44AC-A60F-6D42D2D39204}">
  <dimension ref="B2:O15"/>
  <sheetViews>
    <sheetView showGridLines="0" workbookViewId="0">
      <selection activeCell="E11" sqref="E11"/>
    </sheetView>
  </sheetViews>
  <sheetFormatPr defaultRowHeight="14.5" x14ac:dyDescent="0.35"/>
  <cols>
    <col min="1" max="1" width="8.7265625" style="1"/>
    <col min="2" max="2" width="33.36328125" style="1" customWidth="1"/>
    <col min="3" max="3" width="12.26953125" style="1" customWidth="1"/>
    <col min="4" max="6" width="8.7265625" style="1"/>
    <col min="7" max="7" width="10.453125" style="1" customWidth="1"/>
    <col min="8" max="9" width="8.7265625" style="1"/>
    <col min="10" max="10" width="11.08984375" style="1" bestFit="1" customWidth="1"/>
    <col min="11" max="16384" width="8.7265625" style="1"/>
  </cols>
  <sheetData>
    <row r="2" spans="2:15" ht="15" thickBot="1" x14ac:dyDescent="0.4"/>
    <row r="3" spans="2:15" x14ac:dyDescent="0.35">
      <c r="L3" s="65" t="s">
        <v>11</v>
      </c>
      <c r="M3" s="66"/>
      <c r="N3" s="66"/>
      <c r="O3" s="68"/>
    </row>
    <row r="4" spans="2:15" ht="15" thickBot="1" x14ac:dyDescent="0.4">
      <c r="L4" s="69"/>
      <c r="M4" s="70"/>
      <c r="N4" s="70"/>
      <c r="O4" s="72"/>
    </row>
    <row r="5" spans="2:15" ht="21" x14ac:dyDescent="0.35">
      <c r="B5" s="5" t="s">
        <v>12</v>
      </c>
      <c r="C5" s="6" t="s">
        <v>21</v>
      </c>
      <c r="D5" s="6" t="s">
        <v>13</v>
      </c>
      <c r="E5" s="6" t="s">
        <v>20</v>
      </c>
      <c r="F5" s="6" t="s">
        <v>0</v>
      </c>
      <c r="G5" s="6" t="s">
        <v>1</v>
      </c>
      <c r="H5" s="6" t="s">
        <v>24</v>
      </c>
      <c r="I5" s="6" t="s">
        <v>14</v>
      </c>
      <c r="J5" s="6" t="s">
        <v>19</v>
      </c>
      <c r="K5" s="6" t="s">
        <v>4</v>
      </c>
      <c r="L5" s="8" t="s">
        <v>15</v>
      </c>
      <c r="M5" s="8" t="s">
        <v>2</v>
      </c>
      <c r="N5" s="8" t="s">
        <v>3</v>
      </c>
      <c r="O5" s="9" t="s">
        <v>16</v>
      </c>
    </row>
    <row r="6" spans="2:15" ht="24" x14ac:dyDescent="0.35">
      <c r="B6" s="32" t="s">
        <v>31</v>
      </c>
      <c r="C6" s="29" t="s">
        <v>29</v>
      </c>
      <c r="D6" s="13" t="s">
        <v>18</v>
      </c>
      <c r="E6" s="14">
        <v>45832</v>
      </c>
      <c r="F6" s="13" t="s">
        <v>8</v>
      </c>
      <c r="G6" s="13" t="s">
        <v>6</v>
      </c>
      <c r="H6" s="14"/>
      <c r="I6" s="15"/>
      <c r="J6" s="33">
        <v>190574</v>
      </c>
      <c r="K6" s="28" t="s">
        <v>36</v>
      </c>
      <c r="L6" s="13">
        <v>2</v>
      </c>
      <c r="M6" s="13">
        <v>0</v>
      </c>
      <c r="N6" s="13">
        <v>0.5</v>
      </c>
      <c r="O6" s="17">
        <v>0</v>
      </c>
    </row>
    <row r="7" spans="2:15" ht="24" x14ac:dyDescent="0.35">
      <c r="B7" s="32" t="s">
        <v>28</v>
      </c>
      <c r="C7" s="29" t="s">
        <v>29</v>
      </c>
      <c r="D7" s="13" t="s">
        <v>18</v>
      </c>
      <c r="E7" s="14">
        <v>45832</v>
      </c>
      <c r="F7" s="13" t="s">
        <v>8</v>
      </c>
      <c r="G7" s="13" t="s">
        <v>30</v>
      </c>
      <c r="H7" s="14"/>
      <c r="I7" s="15"/>
      <c r="J7" s="33">
        <v>32400</v>
      </c>
      <c r="K7" s="28" t="s">
        <v>36</v>
      </c>
      <c r="L7" s="28">
        <v>1</v>
      </c>
      <c r="M7" s="28">
        <v>0</v>
      </c>
      <c r="N7" s="28">
        <v>0.5</v>
      </c>
      <c r="O7" s="34">
        <v>0</v>
      </c>
    </row>
    <row r="8" spans="2:15" ht="24" x14ac:dyDescent="0.35">
      <c r="B8" s="32" t="s">
        <v>27</v>
      </c>
      <c r="C8" s="29" t="s">
        <v>26</v>
      </c>
      <c r="D8" s="13" t="s">
        <v>18</v>
      </c>
      <c r="E8" s="14">
        <v>45828</v>
      </c>
      <c r="F8" s="13" t="s">
        <v>8</v>
      </c>
      <c r="G8" s="13" t="s">
        <v>34</v>
      </c>
      <c r="H8" s="14"/>
      <c r="I8" s="15" t="s">
        <v>22</v>
      </c>
      <c r="J8" s="33">
        <v>130000</v>
      </c>
      <c r="K8" s="28" t="s">
        <v>7</v>
      </c>
      <c r="L8" s="28">
        <v>1</v>
      </c>
      <c r="M8" s="28">
        <v>0</v>
      </c>
      <c r="N8" s="28">
        <v>0</v>
      </c>
      <c r="O8" s="34">
        <v>0</v>
      </c>
    </row>
    <row r="9" spans="2:15" ht="24" x14ac:dyDescent="0.35">
      <c r="B9" s="32" t="s">
        <v>32</v>
      </c>
      <c r="C9" s="29" t="s">
        <v>33</v>
      </c>
      <c r="D9" s="13" t="s">
        <v>23</v>
      </c>
      <c r="E9" s="14">
        <v>45839</v>
      </c>
      <c r="F9" s="13" t="s">
        <v>8</v>
      </c>
      <c r="G9" s="13" t="s">
        <v>22</v>
      </c>
      <c r="H9" s="14"/>
      <c r="I9" s="15" t="s">
        <v>22</v>
      </c>
      <c r="J9" s="33" t="s">
        <v>35</v>
      </c>
      <c r="K9" s="28" t="s">
        <v>36</v>
      </c>
      <c r="L9" s="28">
        <v>2</v>
      </c>
      <c r="M9" s="28">
        <v>0</v>
      </c>
      <c r="N9" s="28">
        <v>0</v>
      </c>
      <c r="O9" s="34">
        <v>0</v>
      </c>
    </row>
    <row r="10" spans="2:15" ht="24" x14ac:dyDescent="0.35">
      <c r="B10" s="11" t="s">
        <v>37</v>
      </c>
      <c r="C10" s="12" t="s">
        <v>38</v>
      </c>
      <c r="D10" s="13" t="s">
        <v>18</v>
      </c>
      <c r="E10" s="14">
        <v>45862</v>
      </c>
      <c r="F10" s="13" t="s">
        <v>8</v>
      </c>
      <c r="G10" s="13" t="s">
        <v>34</v>
      </c>
      <c r="H10" s="14"/>
      <c r="I10" s="15" t="s">
        <v>22</v>
      </c>
      <c r="J10" s="16">
        <v>2500000</v>
      </c>
      <c r="K10" s="28"/>
      <c r="L10" s="13">
        <v>2</v>
      </c>
      <c r="M10" s="26"/>
      <c r="N10" s="26">
        <v>0.5</v>
      </c>
      <c r="O10" s="13"/>
    </row>
    <row r="11" spans="2:15" x14ac:dyDescent="0.35">
      <c r="B11" s="11" t="s">
        <v>39</v>
      </c>
      <c r="C11" s="12" t="s">
        <v>40</v>
      </c>
      <c r="D11" s="13" t="s">
        <v>18</v>
      </c>
      <c r="E11" s="14">
        <v>45862</v>
      </c>
      <c r="F11" s="13" t="s">
        <v>8</v>
      </c>
      <c r="G11" s="13"/>
      <c r="H11" s="14">
        <v>45931</v>
      </c>
      <c r="I11" s="15" t="s">
        <v>22</v>
      </c>
      <c r="J11" s="16"/>
      <c r="K11" s="28"/>
      <c r="L11" s="13">
        <v>2</v>
      </c>
      <c r="M11" s="26">
        <v>0</v>
      </c>
      <c r="N11" s="26">
        <v>0</v>
      </c>
      <c r="O11" s="13">
        <v>0</v>
      </c>
    </row>
    <row r="12" spans="2:15" ht="24" x14ac:dyDescent="0.35">
      <c r="B12" s="11" t="s">
        <v>43</v>
      </c>
      <c r="C12" s="12" t="s">
        <v>45</v>
      </c>
      <c r="D12" s="13" t="s">
        <v>18</v>
      </c>
      <c r="E12" s="14">
        <v>45873</v>
      </c>
      <c r="F12" s="13" t="s">
        <v>5</v>
      </c>
      <c r="G12" s="13" t="s">
        <v>30</v>
      </c>
      <c r="H12" s="14"/>
      <c r="I12" s="15" t="s">
        <v>22</v>
      </c>
      <c r="J12" s="16">
        <v>6000</v>
      </c>
      <c r="K12" s="28" t="s">
        <v>7</v>
      </c>
      <c r="L12" s="13"/>
      <c r="M12" s="26"/>
      <c r="N12" s="26">
        <v>0.5</v>
      </c>
      <c r="O12" s="13"/>
    </row>
    <row r="13" spans="2:15" ht="24" x14ac:dyDescent="0.35">
      <c r="B13" s="11" t="s">
        <v>44</v>
      </c>
      <c r="C13" s="12" t="s">
        <v>45</v>
      </c>
      <c r="D13" s="13" t="s">
        <v>18</v>
      </c>
      <c r="E13" s="14">
        <v>45873</v>
      </c>
      <c r="F13" s="13" t="s">
        <v>5</v>
      </c>
      <c r="G13" s="13" t="s">
        <v>30</v>
      </c>
      <c r="H13" s="14"/>
      <c r="I13" s="15" t="s">
        <v>22</v>
      </c>
      <c r="J13" s="16">
        <v>15000</v>
      </c>
      <c r="K13" s="28" t="s">
        <v>7</v>
      </c>
      <c r="L13" s="13"/>
      <c r="M13" s="26"/>
      <c r="N13" s="26">
        <v>0.5</v>
      </c>
      <c r="O13" s="13"/>
    </row>
    <row r="14" spans="2:15" ht="15" thickBot="1" x14ac:dyDescent="0.4">
      <c r="B14" s="35"/>
      <c r="C14" s="35"/>
      <c r="D14" s="36"/>
      <c r="E14" s="37"/>
      <c r="F14" s="36"/>
      <c r="G14" s="36"/>
      <c r="H14" s="37"/>
      <c r="I14" s="38"/>
      <c r="J14" s="39"/>
      <c r="K14" s="40"/>
      <c r="L14" s="40"/>
      <c r="M14" s="40"/>
      <c r="N14" s="40"/>
      <c r="O14" s="41"/>
    </row>
    <row r="15" spans="2:15" ht="15" thickBot="1" x14ac:dyDescent="0.4">
      <c r="L15" s="30">
        <f>SUM(L6:L11)</f>
        <v>10</v>
      </c>
      <c r="M15" s="30">
        <f>SUM(M6:M11)</f>
        <v>0</v>
      </c>
      <c r="N15" s="30">
        <f>SUM(N6:N11)</f>
        <v>1.5</v>
      </c>
      <c r="O15" s="31">
        <f>SUM(O6:O11)</f>
        <v>0</v>
      </c>
    </row>
  </sheetData>
  <mergeCells count="1">
    <mergeCell ref="L3:O4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7B307F45A485543834EE9B27A936403" ma:contentTypeVersion="18" ma:contentTypeDescription="Create a new document." ma:contentTypeScope="" ma:versionID="e4dd72508dda651881815bd048332653">
  <xsd:schema xmlns:xsd="http://www.w3.org/2001/XMLSchema" xmlns:xs="http://www.w3.org/2001/XMLSchema" xmlns:p="http://schemas.microsoft.com/office/2006/metadata/properties" xmlns:ns3="7c685b89-fb62-4d5a-9f84-02a6d72fd6f2" xmlns:ns4="2a4516aa-5d9a-4006-b073-61ef4b6b36be" targetNamespace="http://schemas.microsoft.com/office/2006/metadata/properties" ma:root="true" ma:fieldsID="2697e2e531cb02dcbb6a7d5108fc4c0a" ns3:_="" ns4:_="">
    <xsd:import namespace="7c685b89-fb62-4d5a-9f84-02a6d72fd6f2"/>
    <xsd:import namespace="2a4516aa-5d9a-4006-b073-61ef4b6b36be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MediaServiceSearchProperties" minOccurs="0"/>
                <xsd:element ref="ns3:_activity" minOccurs="0"/>
                <xsd:element ref="ns3:MediaServiceLocation" minOccurs="0"/>
                <xsd:element ref="ns3:MediaServiceObjectDetectorVersions" minOccurs="0"/>
                <xsd:element ref="ns3:MediaServiceSystem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685b89-fb62-4d5a-9f84-02a6d72fd6f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22" nillable="true" ma:displayName="_activity" ma:hidden="true" ma:internalName="_activity">
      <xsd:simpleType>
        <xsd:restriction base="dms:Note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5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4516aa-5d9a-4006-b073-61ef4b6b36be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7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7c685b89-fb62-4d5a-9f84-02a6d72fd6f2" xsi:nil="true"/>
  </documentManagement>
</p:properties>
</file>

<file path=customXml/itemProps1.xml><?xml version="1.0" encoding="utf-8"?>
<ds:datastoreItem xmlns:ds="http://schemas.openxmlformats.org/officeDocument/2006/customXml" ds:itemID="{767751E4-ED23-48DC-BA6E-C6DC24D7552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AD4E3C4-7FF5-42F2-A2B9-69C038E9046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c685b89-fb62-4d5a-9f84-02a6d72fd6f2"/>
    <ds:schemaRef ds:uri="2a4516aa-5d9a-4006-b073-61ef4b6b36b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7FA9A19-8BA2-470D-AB5C-355C7175B4F3}">
  <ds:schemaRefs>
    <ds:schemaRef ds:uri="http://purl.org/dc/dcmitype/"/>
    <ds:schemaRef ds:uri="http://purl.org/dc/terms/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7c685b89-fb62-4d5a-9f84-02a6d72fd6f2"/>
    <ds:schemaRef ds:uri="http://www.w3.org/XML/1998/namespace"/>
    <ds:schemaRef ds:uri="http://schemas.openxmlformats.org/package/2006/metadata/core-properties"/>
    <ds:schemaRef ds:uri="2a4516aa-5d9a-4006-b073-61ef4b6b36be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Updated as on 19 Feb 2026</vt:lpstr>
      <vt:lpstr>For Deck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Thiyagarajan S</dc:creator>
  <cp:keywords/>
  <dc:description/>
  <cp:lastModifiedBy>Thiyagarajan S</cp:lastModifiedBy>
  <cp:revision/>
  <dcterms:created xsi:type="dcterms:W3CDTF">2023-10-03T11:45:28Z</dcterms:created>
  <dcterms:modified xsi:type="dcterms:W3CDTF">2026-03-09T06:26:05Z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0x01010097B307F45A485543834EE9B27A936403</vt:lpwstr>
  </property>
</Properties>
</file>