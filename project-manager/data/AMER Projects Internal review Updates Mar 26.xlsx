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ipath-my.sharepoint.com/personal/thiyagarajan_s_uipath_com/Documents/US Projects/Latest Updates/2026/Master Workbook March 26/"/>
    </mc:Choice>
  </mc:AlternateContent>
  <xr:revisionPtr revIDLastSave="888" documentId="13_ncr:1_{740B3ACE-C029-40CD-B3A0-F66FAEF5DD05}" xr6:coauthVersionLast="47" xr6:coauthVersionMax="47" xr10:uidLastSave="{D23E2265-17A8-48BF-A699-3304C5755DAE}"/>
  <bookViews>
    <workbookView xWindow="-110" yWindow="-110" windowWidth="19420" windowHeight="10300" firstSheet="4" activeTab="5" xr2:uid="{FC62F847-A986-4EAC-AFD6-85AA5755988E}"/>
  </bookViews>
  <sheets>
    <sheet name="Project  Summary" sheetId="26" r:id="rId1"/>
    <sheet name="Memorial Sloan Kettering Cancer" sheetId="35" r:id="rId2"/>
    <sheet name="Columbus State University" sheetId="34" r:id="rId3"/>
    <sheet name="Endurance" sheetId="33" r:id="rId4"/>
    <sheet name="JCI" sheetId="32" r:id="rId5"/>
    <sheet name="Voya " sheetId="31" r:id="rId6"/>
    <sheet name="Liberty " sheetId="30" r:id="rId7"/>
    <sheet name="Apple" sheetId="27" r:id="rId8"/>
    <sheet name="Comcast" sheetId="20" r:id="rId9"/>
    <sheet name="Alliant Credit Union" sheetId="18" r:id="rId10"/>
    <sheet name="Group 1" sheetId="14" r:id="rId11"/>
    <sheet name="Intuit" sheetId="1" r:id="rId12"/>
    <sheet name="Take 2 Games" sheetId="4" r:id="rId13"/>
    <sheet name="BJ's" sheetId="8" r:id="rId14"/>
    <sheet name="Houston Methodist Closed" sheetId="21" r:id="rId15"/>
    <sheet name="Tokyo Closed" sheetId="29" r:id="rId16"/>
    <sheet name="CAMC Vandalia Health Closed" sheetId="19" r:id="rId17"/>
    <sheet name="Homeserve Closed" sheetId="23" r:id="rId18"/>
    <sheet name="Zscaler -Closed" sheetId="28" r:id="rId19"/>
    <sheet name="Workday- Closed" sheetId="2" r:id="rId20"/>
    <sheet name="Fresenius- Closed" sheetId="16" r:id="rId21"/>
    <sheet name="Vialto- Closed" sheetId="24" r:id="rId22"/>
    <sheet name="Tenet Closed" sheetId="10" r:id="rId23"/>
    <sheet name="RWJBH Closed" sheetId="9" r:id="rId24"/>
    <sheet name="DOW Closed" sheetId="3" r:id="rId25"/>
    <sheet name="Exelon Closed" sheetId="12" r:id="rId26"/>
    <sheet name="NYPA Closed" sheetId="15" r:id="rId27"/>
  </sheets>
  <definedNames>
    <definedName name="_xlnm._FilterDatabase" localSheetId="9" hidden="1">'Alliant Credit Union'!$A$1:$J$12</definedName>
    <definedName name="_xlnm._FilterDatabase" localSheetId="7" hidden="1">Apple!$A$1:$I$15</definedName>
    <definedName name="_xlnm._FilterDatabase" localSheetId="13" hidden="1">'BJ''s'!$A$1:$J$50</definedName>
    <definedName name="_xlnm._FilterDatabase" localSheetId="16" hidden="1">'CAMC Vandalia Health Closed'!$A$1:$I$13</definedName>
    <definedName name="_xlnm._FilterDatabase" localSheetId="2" hidden="1">'Columbus State University'!$A$1:$H$4</definedName>
    <definedName name="_xlnm._FilterDatabase" localSheetId="8" hidden="1">Comcast!$A$1:$I$10</definedName>
    <definedName name="_xlnm._FilterDatabase" localSheetId="3" hidden="1">Endurance!$A$1:$H$4</definedName>
    <definedName name="_xlnm._FilterDatabase" localSheetId="25" hidden="1">'Exelon Closed'!$A$1:$I$17</definedName>
    <definedName name="_xlnm._FilterDatabase" localSheetId="20" hidden="1">'Fresenius- Closed'!$A$1:$L$21</definedName>
    <definedName name="_xlnm._FilterDatabase" localSheetId="10" hidden="1">'Group 1'!$A$1:$J$80</definedName>
    <definedName name="_xlnm._FilterDatabase" localSheetId="17" hidden="1">'Homeserve Closed'!$A$1:$I$16</definedName>
    <definedName name="_xlnm._FilterDatabase" localSheetId="14" hidden="1">'Houston Methodist Closed'!$A$1:$I$16</definedName>
    <definedName name="_xlnm._FilterDatabase" localSheetId="11" hidden="1">Intuit!$A$1:$J$41</definedName>
    <definedName name="_xlnm._FilterDatabase" localSheetId="4" hidden="1">JCI!$A$1:$H$4</definedName>
    <definedName name="_xlnm._FilterDatabase" localSheetId="6" hidden="1">'Liberty '!$A$1:$H$4</definedName>
    <definedName name="_xlnm._FilterDatabase" localSheetId="1" hidden="1">'Memorial Sloan Kettering Cancer'!$A$1:$H$4</definedName>
    <definedName name="_xlnm._FilterDatabase" localSheetId="26" hidden="1">'NYPA Closed'!$A$1:$I$8</definedName>
    <definedName name="_xlnm._FilterDatabase" localSheetId="0" hidden="1">'Project  Summary'!$A$1:$U$63</definedName>
    <definedName name="_xlnm._FilterDatabase" localSheetId="12" hidden="1">'Take 2 Games'!$A$1:$I$62</definedName>
    <definedName name="_xlnm._FilterDatabase" localSheetId="15" hidden="1">'Tokyo Closed'!$A$1:$H$3</definedName>
    <definedName name="_xlnm._FilterDatabase" localSheetId="21" hidden="1">'Vialto- Closed'!$A$1:$J$15</definedName>
    <definedName name="_xlnm._FilterDatabase" localSheetId="5" hidden="1">'Voya '!$A$1:$H$3</definedName>
    <definedName name="_xlnm._FilterDatabase" localSheetId="18" hidden="1">'Zscaler -Closed'!$A$1:$I$25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4" i="4" l="1"/>
  <c r="G73" i="4"/>
  <c r="G72" i="4"/>
  <c r="I2" i="4"/>
  <c r="E3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tc={5C23C4E8-1A4E-4DD8-9D99-7C257CECECBA}</author>
  </authors>
  <commentList>
    <comment ref="C10" authorId="0" shapeId="0" xr:uid="{5C23C4E8-1A4E-4DD8-9D99-7C257CECECBA}">
      <text>
        <t>[Threaded comment]
Your version of Excel allows you to read this threaded comment; however, any edits to it will get removed if the file is opened in a newer version of Excel. Learn more: https://go.microsoft.com/fwlink/?linkid=870924
Comment:
    Zero $ SOW- extension of PR-008494</t>
      </text>
    </comment>
  </commentList>
</comments>
</file>

<file path=xl/sharedStrings.xml><?xml version="1.0" encoding="utf-8"?>
<sst xmlns="http://schemas.openxmlformats.org/spreadsheetml/2006/main" count="2139" uniqueCount="847">
  <si>
    <t>Name</t>
  </si>
  <si>
    <t>Process</t>
  </si>
  <si>
    <t>Phase</t>
  </si>
  <si>
    <t>ETA</t>
  </si>
  <si>
    <t>Customer SPOC</t>
  </si>
  <si>
    <t>Work Window</t>
  </si>
  <si>
    <t>Efforts Available</t>
  </si>
  <si>
    <t>Remarks</t>
  </si>
  <si>
    <t>Santosh</t>
  </si>
  <si>
    <t>ICS Auto 2821</t>
  </si>
  <si>
    <t>1420 Business Tax</t>
  </si>
  <si>
    <t>Production</t>
  </si>
  <si>
    <t>Jean Pierre Cote</t>
  </si>
  <si>
    <t>1416 Cleanup</t>
  </si>
  <si>
    <t xml:space="preserve">ICSAUTO 160 Monthly </t>
  </si>
  <si>
    <t xml:space="preserve">ICSAUTO 1411 SendAnnualReport </t>
  </si>
  <si>
    <t>ICSAUTO 112 SendReportPackage</t>
  </si>
  <si>
    <t>ICSAUTO 35 AutomatedTrainingAssignments</t>
  </si>
  <si>
    <t>Siddappa</t>
  </si>
  <si>
    <t>ICS Auto 100</t>
  </si>
  <si>
    <t>ICS Auto 2728</t>
  </si>
  <si>
    <t>Development</t>
  </si>
  <si>
    <t>ICS Auto 2984</t>
  </si>
  <si>
    <t>ICS Auto 3644</t>
  </si>
  <si>
    <t>Discovery</t>
  </si>
  <si>
    <t>ICS Auto 7</t>
  </si>
  <si>
    <t>ICS Auto 143</t>
  </si>
  <si>
    <t>ICS Auto 117</t>
  </si>
  <si>
    <t>ICS Auto 157</t>
  </si>
  <si>
    <t>Chaitali</t>
  </si>
  <si>
    <t>1344 Pin Debit Chargeback</t>
  </si>
  <si>
    <t>Maaly</t>
  </si>
  <si>
    <t>2 - 10 PM IST</t>
  </si>
  <si>
    <t>1244 Low Risk IUW</t>
  </si>
  <si>
    <t>1158_Financial crimes investigation</t>
  </si>
  <si>
    <t>1185_Ecommerce fraud case creation</t>
  </si>
  <si>
    <t>1169_APU EverC</t>
  </si>
  <si>
    <t>1235_Release Funds on Won Chargeback</t>
  </si>
  <si>
    <t>1148_Low Risk case automation</t>
  </si>
  <si>
    <t>Ekta</t>
  </si>
  <si>
    <t>Corps Accounting</t>
  </si>
  <si>
    <t>Veera Boddula</t>
  </si>
  <si>
    <t>1 - 09 PM IST</t>
  </si>
  <si>
    <t>Nishi Singh</t>
  </si>
  <si>
    <t>AP process</t>
  </si>
  <si>
    <t>Concerns</t>
  </si>
  <si>
    <t>Mitigation</t>
  </si>
  <si>
    <t>Shijin</t>
  </si>
  <si>
    <t>UK PECI Automation</t>
  </si>
  <si>
    <t>Liri</t>
  </si>
  <si>
    <t>Go-Live expected by 09 Aug</t>
  </si>
  <si>
    <t>Biz statement - Only post BOT generated results, Biz will decide on the scope and Changes</t>
  </si>
  <si>
    <t>Scope freezed and additional efforts [CR] shared  with customer awaiting signature</t>
  </si>
  <si>
    <t>EID Checks</t>
  </si>
  <si>
    <t>Play Planning Data Audits</t>
  </si>
  <si>
    <t>Sandeep B</t>
  </si>
  <si>
    <t>TBD</t>
  </si>
  <si>
    <t>Fidelity Accrual</t>
  </si>
  <si>
    <t>Payroll UK Acrual</t>
  </si>
  <si>
    <t>Jobs &amp; Operationa Data  - POC</t>
  </si>
  <si>
    <t>Royality Emailing</t>
  </si>
  <si>
    <t>UAT</t>
  </si>
  <si>
    <t>Legal Accrual</t>
  </si>
  <si>
    <t>Payroll Accrual for T2 US&amp;CAD and Zynga US&amp;CAD</t>
  </si>
  <si>
    <t>Payroll UK Accrual</t>
  </si>
  <si>
    <t>CapSw Earnings</t>
  </si>
  <si>
    <t>CapSw Journals</t>
  </si>
  <si>
    <t>CapSw StockComp</t>
  </si>
  <si>
    <t>RPA Standalone Journal Bot</t>
  </si>
  <si>
    <t>HealthCheck_LongRunning workflows</t>
  </si>
  <si>
    <t>POC - Extract process submission user ID</t>
  </si>
  <si>
    <t>SAM</t>
  </si>
  <si>
    <t>Best Buy</t>
  </si>
  <si>
    <t>Electronic Arts EA Games</t>
  </si>
  <si>
    <t>Feral</t>
  </si>
  <si>
    <t>Aspyr</t>
  </si>
  <si>
    <t>SFDC for Zynga</t>
  </si>
  <si>
    <t>Index for Zynga</t>
  </si>
  <si>
    <t>Xander</t>
  </si>
  <si>
    <t>Fibre Nordeus</t>
  </si>
  <si>
    <t>App Lovin Nordeus</t>
  </si>
  <si>
    <t>Hyper MX</t>
  </si>
  <si>
    <t>Vungle Nordeus</t>
  </si>
  <si>
    <t>H2 Interactive</t>
  </si>
  <si>
    <t>Amazon Japan</t>
  </si>
  <si>
    <t>Sridhar</t>
  </si>
  <si>
    <t xml:space="preserve">Microsoft backCompat sales </t>
  </si>
  <si>
    <t>Mitigations</t>
  </si>
  <si>
    <t>Nikita</t>
  </si>
  <si>
    <t>NA GBS P2P R-Block Reports</t>
  </si>
  <si>
    <t>Kevin Rodrigues</t>
  </si>
  <si>
    <t>Delivered</t>
  </si>
  <si>
    <t>12 .30 - 9.30 PM IST Work Timings</t>
  </si>
  <si>
    <t>NA GBS P2P Invoice and Payments Notification</t>
  </si>
  <si>
    <t>NA CORP AR TruBlu Invoices</t>
  </si>
  <si>
    <t>De-Scoped</t>
  </si>
  <si>
    <t>Descoped after dev was half way through</t>
  </si>
  <si>
    <t>NA Cycler RGA Report</t>
  </si>
  <si>
    <t>NA CORP CLA Reconciliation</t>
  </si>
  <si>
    <t>BRD and UAT Sign off not available</t>
  </si>
  <si>
    <t>GLOBAL GBS SFTP Blackline</t>
  </si>
  <si>
    <t xml:space="preserve">APAC FME GBS Fixed Assets Reporting  Insite </t>
  </si>
  <si>
    <t>"1. Delay in receiving updated power query file and SAP steps
2. Multiple UAT rounds performed despite no issues in bot run during positive and negative testing, due to Power query issue. Previous month files to be used for testing provided in a different format than required and developer had to recreate files with current template resulting in additional time for re-testing, which was not taken into consideration"</t>
  </si>
  <si>
    <t>GLOBAL GBS TP Engine</t>
  </si>
  <si>
    <t>KT completed - Jovie Mae De Guzman, Jhimben Gonzales, Dexter Amor</t>
  </si>
  <si>
    <t>APAC FME SSC Bank Reconciliation</t>
  </si>
  <si>
    <t>NA Cycler and Tanks Capitalization</t>
  </si>
  <si>
    <t>NA FME RTG 50B Downloads</t>
  </si>
  <si>
    <t>Shreshta</t>
  </si>
  <si>
    <t>EMEA – FME SSC Proof of Delivery</t>
  </si>
  <si>
    <t>Ramya G</t>
  </si>
  <si>
    <t>Raju Naik</t>
  </si>
  <si>
    <t>Jessica</t>
  </si>
  <si>
    <t>Dev</t>
  </si>
  <si>
    <t>Sushmita Dey</t>
  </si>
  <si>
    <t>Creation of RPO</t>
  </si>
  <si>
    <t>Megha Prabhu</t>
  </si>
  <si>
    <t>Manhattan Blue Yonder TMS integration</t>
  </si>
  <si>
    <t>Durga Koushik Perumalla</t>
  </si>
  <si>
    <t>Member Care with Comms Mining</t>
  </si>
  <si>
    <t>Kumuda Sri  TT</t>
  </si>
  <si>
    <t>Club Roster Maintenance/Hierarchy Files</t>
  </si>
  <si>
    <t>Manoj Kumar</t>
  </si>
  <si>
    <t>Hot List Report Generation</t>
  </si>
  <si>
    <t>Stock status reporting</t>
  </si>
  <si>
    <t>Prior Auth Detemination</t>
  </si>
  <si>
    <t>02- 10 Pm IST</t>
  </si>
  <si>
    <t>Dev Completed</t>
  </si>
  <si>
    <t>Pavithra Anandan/ Sivasankari</t>
  </si>
  <si>
    <t>Prior Auth Status</t>
  </si>
  <si>
    <t>Susan/Fallon</t>
  </si>
  <si>
    <t>Shreya Shrivastava</t>
  </si>
  <si>
    <t>Notice Of Admnission</t>
  </si>
  <si>
    <t>Cara Tompkins</t>
  </si>
  <si>
    <t>Sivasankari s</t>
  </si>
  <si>
    <t>Medical Records</t>
  </si>
  <si>
    <t>Linda Bilek</t>
  </si>
  <si>
    <t>Adavelli Anusha / Shlok</t>
  </si>
  <si>
    <t>Hospital AR Reports process</t>
  </si>
  <si>
    <t>Shashi</t>
  </si>
  <si>
    <t>1.30 - 10 PM IST</t>
  </si>
  <si>
    <t>Fixed Assert Retirement process</t>
  </si>
  <si>
    <t xml:space="preserve">Deployed in Prod, sanity test completed, </t>
  </si>
  <si>
    <t xml:space="preserve">Password Pop up issue blocks BOT execution, </t>
  </si>
  <si>
    <t>Soln to be confirmed by Tenet IT</t>
  </si>
  <si>
    <t>Fixed Assert Transfer process</t>
  </si>
  <si>
    <t>Karthik Deshpande</t>
  </si>
  <si>
    <t xml:space="preserve">Initiating Payment Runs in Oracle </t>
  </si>
  <si>
    <t>Managing Payment Runs in Oracle (ACH &amp; CHK)</t>
  </si>
  <si>
    <t xml:space="preserve">CFO Revenue Process </t>
  </si>
  <si>
    <t>Shlok Singh</t>
  </si>
  <si>
    <t>Creating New Vendors proces [DU]</t>
  </si>
  <si>
    <t>PDD</t>
  </si>
  <si>
    <t>Awaiting access to be enabled for  MS Access, in UAT and Prod environments.
Dev in progress - as per schedule</t>
  </si>
  <si>
    <t xml:space="preserve">Purushutham </t>
  </si>
  <si>
    <t>Prakhar</t>
  </si>
  <si>
    <t>Shailendra</t>
  </si>
  <si>
    <t>Ponvijay Nirmal Suthakar</t>
  </si>
  <si>
    <t>Raja Christopher S</t>
  </si>
  <si>
    <t>S2GO</t>
  </si>
  <si>
    <t>TAP Reasearch</t>
  </si>
  <si>
    <t>De-Scoped from automation due to sensitive data involved in the process</t>
  </si>
  <si>
    <t>Creation of BOT to Close PO Limits</t>
  </si>
  <si>
    <t>Dharunya</t>
  </si>
  <si>
    <t>PSA Efforts Available</t>
  </si>
  <si>
    <t>NV_BOL</t>
  </si>
  <si>
    <t>NV_InTransit</t>
  </si>
  <si>
    <t>BRD_CDK_UUP_CRE</t>
  </si>
  <si>
    <t>OEM_Posting_AGJE</t>
  </si>
  <si>
    <t>BRD_AD</t>
  </si>
  <si>
    <t>DealerTrade_AU_Data</t>
  </si>
  <si>
    <t>FIC_AGJE</t>
  </si>
  <si>
    <t>RDS_Posting</t>
  </si>
  <si>
    <t>UsedCars_Purchase</t>
  </si>
  <si>
    <t>UsedCars_AAX_Process_2</t>
  </si>
  <si>
    <t>UsedCars_Auction</t>
  </si>
  <si>
    <t>CBR_Posting</t>
  </si>
  <si>
    <t>NV_Docuware_Upload</t>
  </si>
  <si>
    <t>BRD_Docuware</t>
  </si>
  <si>
    <t>BRD_Job_Router</t>
  </si>
  <si>
    <t>Bank Email Extraction Process</t>
  </si>
  <si>
    <t>Bank_Reconciliation</t>
  </si>
  <si>
    <t>CTFlag_INVENTORY_AGJE</t>
  </si>
  <si>
    <t>HondaAcura_VehPricingDownload</t>
  </si>
  <si>
    <t>NV_DU_Cloud</t>
  </si>
  <si>
    <t>NV_OCR</t>
  </si>
  <si>
    <t>UsedCars_Wholesale_Process</t>
  </si>
  <si>
    <t>BRD_CDK_ANM</t>
  </si>
  <si>
    <t>BRD_CDK_PO</t>
  </si>
  <si>
    <t>BRD_CDK_UD</t>
  </si>
  <si>
    <t>BRD_CDK_UTD</t>
  </si>
  <si>
    <t>BRD_CDKConnect</t>
  </si>
  <si>
    <t>BRD_CRM_ELeads</t>
  </si>
  <si>
    <t>BRD_DealerTrack</t>
  </si>
  <si>
    <t>BRD_Notify_Email</t>
  </si>
  <si>
    <t>BRD_RouteOne</t>
  </si>
  <si>
    <t>BRD_Xtime</t>
  </si>
  <si>
    <t>UK BMW Incentive Bonus update</t>
  </si>
  <si>
    <t>UK_BMW_Incentives_DownloadMainframe</t>
  </si>
  <si>
    <t>UK_GL_Posting</t>
  </si>
  <si>
    <t>UK_GLPosting_KeyloopDrive</t>
  </si>
  <si>
    <t>UK_Incentive_GLPosting_KeyloopDrive</t>
  </si>
  <si>
    <t>UK_Incentives_Downloads</t>
  </si>
  <si>
    <t>UK_Notify_Email</t>
  </si>
  <si>
    <t>UK_MB_Leads</t>
  </si>
  <si>
    <t>UK_RTC_Convert_Web_Booking</t>
  </si>
  <si>
    <t>UK Get Stock Number</t>
  </si>
  <si>
    <t>UK_Audi_SLI_Downloads</t>
  </si>
  <si>
    <t>UK_NewVehicle_InvoiceDownload</t>
  </si>
  <si>
    <t>UK_SLI_Kia_Downloads</t>
  </si>
  <si>
    <t>UK_UsedCar_Price_Update</t>
  </si>
  <si>
    <t>Prod</t>
  </si>
  <si>
    <t>OEM_Posting_Download_and_Extraction_Domestic</t>
  </si>
  <si>
    <t>OEM_Posting_Download_and_Extraction_Hiline</t>
  </si>
  <si>
    <t>OEM_Posting_Download_and_Extraction_Import</t>
  </si>
  <si>
    <t>US_Floorplan_Data_SFTP</t>
  </si>
  <si>
    <t>BRD_Email_Exchange</t>
  </si>
  <si>
    <t>FI_Billing_CIFF_Deals</t>
  </si>
  <si>
    <t>FI_Billing_Get_DW_Data</t>
  </si>
  <si>
    <t>FI_Billing_Validation_SPs</t>
  </si>
  <si>
    <t>Term_AD</t>
  </si>
  <si>
    <t>TERM_CDKConnect_Disable_Production</t>
  </si>
  <si>
    <t>TERM_CDKUUP_Disable</t>
  </si>
  <si>
    <t>Term_CRM_ELeads_Production</t>
  </si>
  <si>
    <t>Term_Docuware</t>
  </si>
  <si>
    <t>Term_Email</t>
  </si>
  <si>
    <t>TERM_JobRouter</t>
  </si>
  <si>
    <t>CC_CreditCardPayments_New</t>
  </si>
  <si>
    <t>CDK_ADTL_REPORT</t>
  </si>
  <si>
    <t>CheckEmail_UsedCarInvoicePull_background</t>
  </si>
  <si>
    <t>US_NewParts_Process</t>
  </si>
  <si>
    <t>UK_OEM_Warranty_InvoiceDownload</t>
  </si>
  <si>
    <t>UK_PartsInvoice_Downloads</t>
  </si>
  <si>
    <t>UK_PartsInvoice_Posting</t>
  </si>
  <si>
    <t>UK_SLI_Posting</t>
  </si>
  <si>
    <t>UK_Warranty_GL_Posting</t>
  </si>
  <si>
    <t>NewCarOEM_DL_NE&amp;NW</t>
  </si>
  <si>
    <t>Raja/Vijay</t>
  </si>
  <si>
    <t>NV_Invoice_Download_Windows</t>
  </si>
  <si>
    <t>AL Omari</t>
  </si>
  <si>
    <t>AP Inquiries</t>
  </si>
  <si>
    <t>John.Wagner@nypa.gov;Emmanuel.CHERIAN@nypa.gov</t>
  </si>
  <si>
    <t>SAP Reports</t>
  </si>
  <si>
    <t>sameer.thakur@nypa.gov</t>
  </si>
  <si>
    <t xml:space="preserve">subbulakshmi.subramaniam@nypa.gov, Marwan.madi@nypa.gov
</t>
  </si>
  <si>
    <t>HR process(Canals data entry) -</t>
  </si>
  <si>
    <t xml:space="preserve"> jolie.chong@nypa.gov; angimar.mosqueda@nypa.gov</t>
  </si>
  <si>
    <t>Raphael.Gernath@nypa.gov;</t>
  </si>
  <si>
    <t>Hyper Care</t>
  </si>
  <si>
    <t>Escalated to PM and customer</t>
  </si>
  <si>
    <t>SAP access not enabled for development and testing</t>
  </si>
  <si>
    <t xml:space="preserve">Despatcher completed
Performer is stuck due to unavailability of  SAP access </t>
  </si>
  <si>
    <t>LMS Enrollment Report</t>
  </si>
  <si>
    <t>Brief Process Description</t>
  </si>
  <si>
    <t>Migration Use case</t>
  </si>
  <si>
    <t>BP to UiPath</t>
  </si>
  <si>
    <t>496 CCB Report Validation - Despatcher</t>
  </si>
  <si>
    <t>496 CCB Report Validation - Performer</t>
  </si>
  <si>
    <t>UAT signed off, awaiting CCB approval for Prod deployment</t>
  </si>
  <si>
    <t>AT present BOT is scheduled to run everyday in UAT and sending daily reprts to Biz SME</t>
  </si>
  <si>
    <t>493 Flat File Process</t>
  </si>
  <si>
    <t>Sail Point, Service Now and Shared drive access to be enabled</t>
  </si>
  <si>
    <t xml:space="preserve">479 SIRT Roaster </t>
  </si>
  <si>
    <t>SDD will satrt post PDD sign off</t>
  </si>
  <si>
    <t>Christy Bartlett</t>
  </si>
  <si>
    <t>492 Mesh Survey - DU Use case</t>
  </si>
  <si>
    <t>Sanjana</t>
  </si>
  <si>
    <t>Royalty Load Invoice</t>
  </si>
  <si>
    <t>Bid machine</t>
  </si>
  <si>
    <t>Krupa Pujilala</t>
  </si>
  <si>
    <t>New Implementation</t>
  </si>
  <si>
    <t>BOT  will extract Asset Histrory,  Asset serial number, Asset Profit Center , Plant IO , Depreciation Simulation , Asset Retirement, , Financial Statement from SAP and update the file location path in Power Query Template and save the template
Application used Outlook, Excel, SAP</t>
  </si>
  <si>
    <t>In this process bot will check the files uploade in Sharepoint by TP Engine. Compare the no of posting and document number generated in SAP, lastly Upload the PDF document in SAP.
Application used - Outlook, Excel, SAP</t>
  </si>
  <si>
    <t>BOT to download  4 SAP reports for MAIN&lt; INCOIMING, OUTGOING, FEBAN.update the Power query template with report details and save the power query template.
Application used - Outlook, Excel, SAP</t>
  </si>
  <si>
    <t>In this process bot  downloads 4 different SAP Reports based on the input provided in the config file. Save the SAP files to a shared folder location and update the file path in the power query template and refresh the query.
Application - Outlook, Excel, SAP</t>
  </si>
  <si>
    <t>In this process bot will download Matrix file from Blackline API . Get the Spool request number from SAP and download the pdf from SAP (SP01). Save the PDF with file location and file name based on matrix file and send an email upon completion of the process.
Application used - Outlook, Excel, SAP</t>
  </si>
  <si>
    <t>Bot to download PO Limit Data from SAP, send the file to business team for approval on each row in the excel.Business team to respond back to the same email with the updated excel. Bot to read the excel. Open SAP and check the status of  approved PO , if mentioned criterias matches in SAP  lock the PO.
Application used Outlook, Excel, SAP</t>
  </si>
  <si>
    <t>Smart Saver Promo Validation</t>
  </si>
  <si>
    <t>SC Tickets in Resolve</t>
  </si>
  <si>
    <t>CAB Agenda</t>
  </si>
  <si>
    <t>On Time Truck Receiving</t>
  </si>
  <si>
    <t>Sap Pricing / Promo</t>
  </si>
  <si>
    <t>Alarm Reporting</t>
  </si>
  <si>
    <t>Fuel Smart BOL Entry</t>
  </si>
  <si>
    <t>Pumps Down Reporting</t>
  </si>
  <si>
    <t>1 -  9 PM IST</t>
  </si>
  <si>
    <t>Sivasankari</t>
  </si>
  <si>
    <t>PDD creation in Progress</t>
  </si>
  <si>
    <t>Development in progress
Test cases being prepared</t>
  </si>
  <si>
    <t>1417 Payroll Monitoring Policy</t>
  </si>
  <si>
    <t>ICS Auto 2981</t>
  </si>
  <si>
    <t>Biz requested to replicate the exiting type of  report to  mutiple type of repoorts</t>
  </si>
  <si>
    <t>SDD</t>
  </si>
  <si>
    <t>Application access yet to be enabled to start  development</t>
  </si>
  <si>
    <t>PDD completed , review scheduled with Biz 10/09</t>
  </si>
  <si>
    <t>Efforst remaining 444</t>
  </si>
  <si>
    <t>Project Type</t>
  </si>
  <si>
    <t>DU &amp; Core RPA</t>
  </si>
  <si>
    <t>Core RPA</t>
  </si>
  <si>
    <t>ICS Auto 3834</t>
  </si>
  <si>
    <t>GMG Homeworld</t>
  </si>
  <si>
    <t>Customer is yet to fix the power Querry</t>
  </si>
  <si>
    <t>E- Mobility</t>
  </si>
  <si>
    <t>Hyper care</t>
  </si>
  <si>
    <t>NA Fixed Assets</t>
  </si>
  <si>
    <t>Efforts Remaining</t>
  </si>
  <si>
    <t>Hyper care  Signed off, KT completed</t>
  </si>
  <si>
    <t>RevU</t>
  </si>
  <si>
    <t>Mintegral</t>
  </si>
  <si>
    <t>Concur Expense Reporting</t>
  </si>
  <si>
    <t>AP invoices</t>
  </si>
  <si>
    <t>ICS Auto 3435</t>
  </si>
  <si>
    <t>KT</t>
  </si>
  <si>
    <t>Rev OPS - Training   - Nishi / Ekta</t>
  </si>
  <si>
    <t>Rev OPS - Subscription  - Nishi / Ekta</t>
  </si>
  <si>
    <t>Changes implemented, to be deployed in 1st week of December</t>
  </si>
  <si>
    <t>Graph API to be enabled for e-mails</t>
  </si>
  <si>
    <t>Product Used</t>
  </si>
  <si>
    <t>Hyper care in Progress, KT Completed</t>
  </si>
  <si>
    <t>Tech Scouting</t>
  </si>
  <si>
    <t>Core RPA - Studio, Test Suite</t>
  </si>
  <si>
    <t>PlayerLync Reporting</t>
  </si>
  <si>
    <t>BI Perishable Process</t>
  </si>
  <si>
    <t>Comms Mining + Core RPA</t>
  </si>
  <si>
    <t>Fuel Pump inactivity Alert</t>
  </si>
  <si>
    <t>Invoice Reconciliation</t>
  </si>
  <si>
    <t>Legal Litigation Task Automation</t>
  </si>
  <si>
    <t>DU + Core RPA</t>
  </si>
  <si>
    <t>Core RPA - Studio + Test Suite</t>
  </si>
  <si>
    <t>Core RPA-Studio + Test Suite</t>
  </si>
  <si>
    <t>Legal Document Search</t>
  </si>
  <si>
    <t>BJs Developer</t>
  </si>
  <si>
    <t>Context Grounding+A4E</t>
  </si>
  <si>
    <t>POC</t>
  </si>
  <si>
    <t>POC in progress By BJ's develoepr, guided by Vasanth SA</t>
  </si>
  <si>
    <t>Write off invoice in suspense</t>
  </si>
  <si>
    <t>UiPath Apps+ Data Service, Core RPA -Studio</t>
  </si>
  <si>
    <t>Core RPA - Studio + Test Suite+ integration services</t>
  </si>
  <si>
    <t>KT completed  to Workday</t>
  </si>
  <si>
    <t>Deployed in Production and signed off on 26 Nov 2024</t>
  </si>
  <si>
    <t>Hyper care  Signed off, , KT completed</t>
  </si>
  <si>
    <t>ICS Auto 3203</t>
  </si>
  <si>
    <t>ICS Auto 4952</t>
  </si>
  <si>
    <t>Kevin and Bharthi are aware of the challenges</t>
  </si>
  <si>
    <t>UK Delivery Receipts Validation</t>
  </si>
  <si>
    <t>Expected End Date</t>
  </si>
  <si>
    <t>Sridhar Amudala</t>
  </si>
  <si>
    <t xml:space="preserve"> CapSw Table </t>
  </si>
  <si>
    <t>Lease Accounting</t>
  </si>
  <si>
    <t>Insjght access and input files missing - Kevin to enable</t>
  </si>
  <si>
    <t>ADAPT R2- Epic_wishlist</t>
  </si>
  <si>
    <t>UK MB Download and financial Posting</t>
  </si>
  <si>
    <t>UK Audi sundry download and posting</t>
  </si>
  <si>
    <t>Prod deployment planned on 21 Jan 2025</t>
  </si>
  <si>
    <t>Certain querries and data requested frm Business are delayed, that might potentially impact the delivery schedule</t>
  </si>
  <si>
    <t>Impact escalated to Project Manager - Ammar as well to customer to</t>
  </si>
  <si>
    <t>Invoice Entry - PO Process</t>
  </si>
  <si>
    <t>Likely to start in last week of Feb '25</t>
  </si>
  <si>
    <t>Invoice Entry - NON PO Process</t>
  </si>
  <si>
    <t>After completion of UAT, Customer de-scoped this proces stating biz is no more using this Process</t>
  </si>
  <si>
    <t>Biz sign off expedt by 17 Jan 2025</t>
  </si>
  <si>
    <t>bug fix for portal and epic going on</t>
  </si>
  <si>
    <t>Hyper care in Progress, BOT execution smooth</t>
  </si>
  <si>
    <t>CR implemented in Prod, smoke tetsing likely on 22/01</t>
  </si>
  <si>
    <t>RWJBH is owning this process, due to biz reasons</t>
  </si>
  <si>
    <t>Project tentively to be completed by 03 Feb</t>
  </si>
  <si>
    <t>Raja</t>
  </si>
  <si>
    <t>Purushotham</t>
  </si>
  <si>
    <t>ICS Auto 5078</t>
  </si>
  <si>
    <t>Deployed in Production, Hyper care sign off awaited</t>
  </si>
  <si>
    <t>Chaitanya</t>
  </si>
  <si>
    <t>Navas</t>
  </si>
  <si>
    <t>Info record Update</t>
  </si>
  <si>
    <t>Phy Comp setup of recurring payments</t>
  </si>
  <si>
    <t>Shreshtha</t>
  </si>
  <si>
    <r>
      <t xml:space="preserve">The shared drive contains the Contract Analysis Template, which needs to be changed with the document number produced by SAP for the recurring payment by running the FBD1 T-code. Use the ZFPA T-code to get the Recurring Entry document. Additionally, copy and paste every document screenshot into the ZFPA template.
</t>
    </r>
    <r>
      <rPr>
        <b/>
        <sz val="10"/>
        <color theme="1"/>
        <rFont val="Aptos Narrow"/>
        <family val="2"/>
        <scheme val="minor"/>
      </rPr>
      <t>Application Used – SAP , Excel , Outlook</t>
    </r>
  </si>
  <si>
    <r>
      <t xml:space="preserve">The process first determines whether the material already exists in SAP based on the type of request that was received from the business in the form of an Excel document. If not, it must build the material and then update or modify the material information based on the request type.
</t>
    </r>
    <r>
      <rPr>
        <b/>
        <sz val="10"/>
        <color theme="1"/>
        <rFont val="Aptos Narrow"/>
        <family val="2"/>
        <scheme val="minor"/>
      </rPr>
      <t>Application Used – SAP , Excel , Outlook</t>
    </r>
  </si>
  <si>
    <t>UAT In Progress</t>
  </si>
  <si>
    <t>UAT Planned to satrt by 07 Feb 2025</t>
  </si>
  <si>
    <t>nFDS 112</t>
  </si>
  <si>
    <t>Phase 2</t>
  </si>
  <si>
    <t>British Car Auction</t>
  </si>
  <si>
    <t>Deployed in Prod</t>
  </si>
  <si>
    <t>Development in Progress
Shlok Working on DU Part - 19-Jan-25
Karthik wokring on Non DU part
Additional automation to be enabled, for which requirement gathering in progress</t>
  </si>
  <si>
    <t>Street Date  Deferrals</t>
  </si>
  <si>
    <t>New Ads Yeild</t>
  </si>
  <si>
    <t>Bharthi awaiting internal approval for Prod Deployment from 24/02</t>
  </si>
  <si>
    <t>Application credentials awaited from Shamsala 14/03</t>
  </si>
  <si>
    <t>SP Path is not created yet - Shamsala 14/03</t>
  </si>
  <si>
    <t xml:space="preserve">Celonis Write Back </t>
  </si>
  <si>
    <t>Bank Recon Wave 5</t>
  </si>
  <si>
    <t>SAP Access awaited 14/03</t>
  </si>
  <si>
    <t>Pre-requisotes shared today 13/03, estimates to be prepared 13/03</t>
  </si>
  <si>
    <t>Handed over to BJ's Support</t>
  </si>
  <si>
    <t>Resume Screener</t>
  </si>
  <si>
    <t>Core RPA - Studio + Context Groundig+ IS + Gen AI + Apps</t>
  </si>
  <si>
    <t>Delayed due to continued changes</t>
  </si>
  <si>
    <t>Aged Inventory Process</t>
  </si>
  <si>
    <t>Absent and late tracking</t>
  </si>
  <si>
    <t>Fuel Alarm Reporting:</t>
  </si>
  <si>
    <t>Email parsing and ticket creation</t>
  </si>
  <si>
    <t>Comms Mining + Core RPA+ Insights+Test Suite</t>
  </si>
  <si>
    <t>Core RPA - Studio + Test Suite +Insights</t>
  </si>
  <si>
    <t>Vinay D</t>
  </si>
  <si>
    <t>ICS Auto 5560</t>
  </si>
  <si>
    <t>ICS Auto 5288</t>
  </si>
  <si>
    <t>ICS Auto 7364</t>
  </si>
  <si>
    <t>1463 Nacha BOT</t>
  </si>
  <si>
    <t>1471 Payrol Collection</t>
  </si>
  <si>
    <t>PSA expert Assist</t>
  </si>
  <si>
    <t>PSA Sub contractor</t>
  </si>
  <si>
    <t>Scrapper Bot</t>
  </si>
  <si>
    <t>Rohit Rathore</t>
  </si>
  <si>
    <t>Daily System Health Check</t>
  </si>
  <si>
    <t>VANCO Payment Exceptions</t>
  </si>
  <si>
    <t>Claim Status Report</t>
  </si>
  <si>
    <t>Sathish P</t>
  </si>
  <si>
    <t>Abhishek Singh</t>
  </si>
  <si>
    <t>Development Completed - ON HOLD</t>
  </si>
  <si>
    <t>Akash Singhal</t>
  </si>
  <si>
    <t>BI Perishable Process V2</t>
  </si>
  <si>
    <t>Chetan D</t>
  </si>
  <si>
    <t>Chaman</t>
  </si>
  <si>
    <t>HRDM ABBR Anniversary Files</t>
  </si>
  <si>
    <t>Project Name</t>
  </si>
  <si>
    <t>Deal Value</t>
  </si>
  <si>
    <t>Growth/Core</t>
  </si>
  <si>
    <t>Delivery Region</t>
  </si>
  <si>
    <t>SOW Type</t>
  </si>
  <si>
    <t>Contract Type</t>
  </si>
  <si>
    <t>Status</t>
  </si>
  <si>
    <t>RAG Status</t>
  </si>
  <si>
    <t>Comments</t>
  </si>
  <si>
    <t>SOW Signed on</t>
  </si>
  <si>
    <t>Issues  / Risks Captured</t>
  </si>
  <si>
    <t>Sales / GTM</t>
  </si>
  <si>
    <t>Sl. No</t>
  </si>
  <si>
    <t>Core</t>
  </si>
  <si>
    <t>India</t>
  </si>
  <si>
    <t>Staff Aug</t>
  </si>
  <si>
    <t>T&amp;M</t>
  </si>
  <si>
    <t>In Progress</t>
  </si>
  <si>
    <t>Green</t>
  </si>
  <si>
    <t>Intuit Inc.-Time and Materials-Prepaid-PR-008662</t>
  </si>
  <si>
    <t>Dev efforts exhausted - Chaitalee Shilke
New SOW  Signature in Progress
Start at Risk approval awaited from Samuel Mongeau</t>
  </si>
  <si>
    <t xml:space="preserve">Tylor Basas / Spencer Miller </t>
  </si>
  <si>
    <t>Growth</t>
  </si>
  <si>
    <t>Gen AI/DU/IDP</t>
  </si>
  <si>
    <t>Contracted efforts would be consumed by 15 June 2025
Informed AE - Lindsay Kincy  on 02 May 2025</t>
  </si>
  <si>
    <t>Decision awaited - whether customer will renew contract or release resources</t>
  </si>
  <si>
    <t>Contract [SFDC] End date</t>
  </si>
  <si>
    <t>Team Member</t>
  </si>
  <si>
    <t>Chaitalee Shilke</t>
  </si>
  <si>
    <t>Raja Christopher
Ponvijay Nirmal</t>
  </si>
  <si>
    <t>Expected Release Date</t>
  </si>
  <si>
    <t>Availability</t>
  </si>
  <si>
    <t xml:space="preserve">Sachdeep Singh </t>
  </si>
  <si>
    <t xml:space="preserve">Shubham Jadhav </t>
  </si>
  <si>
    <t>Syed Abdhahir</t>
  </si>
  <si>
    <t>Cash Recon</t>
  </si>
  <si>
    <t>Veera</t>
  </si>
  <si>
    <t>Physician Affiliation</t>
  </si>
  <si>
    <t>Time card1</t>
  </si>
  <si>
    <t>Drugs Screening</t>
  </si>
  <si>
    <t>Access Edit Patients - Despatcher</t>
  </si>
  <si>
    <t>Access Edit Camc - Despatcher</t>
  </si>
  <si>
    <t>Access Edit Patients - Performer</t>
  </si>
  <si>
    <t>Access Edit Camc - Performer</t>
  </si>
  <si>
    <t>Charge Line Rendering</t>
  </si>
  <si>
    <t xml:space="preserve">HRDM Virtual Work Location State vs Home &amp; Mismatch and ABBR </t>
  </si>
  <si>
    <t>Staff Scheduling</t>
  </si>
  <si>
    <r>
      <rPr>
        <b/>
        <sz val="9"/>
        <color theme="1"/>
        <rFont val="Aptos Narrow"/>
        <family val="2"/>
        <scheme val="minor"/>
      </rPr>
      <t xml:space="preserve">16 May </t>
    </r>
    <r>
      <rPr>
        <sz val="9"/>
        <color theme="1"/>
        <rFont val="Aptos Narrow"/>
        <family val="2"/>
        <scheme val="minor"/>
      </rPr>
      <t>- SDD Approved 
Despatcher Part Completed</t>
    </r>
  </si>
  <si>
    <t>1478 Capital Broker application BOT</t>
  </si>
  <si>
    <t>ICS Auto 5588</t>
  </si>
  <si>
    <t>SIT could not be completed due to delayfrom other developer - Gilbert</t>
  </si>
  <si>
    <t xml:space="preserve">PM - Ammar is aware of limited SIT </t>
  </si>
  <si>
    <t xml:space="preserve">Time Card 2 Expansion </t>
  </si>
  <si>
    <t>Bupa Insurance Invoice Extract</t>
  </si>
  <si>
    <t>On Hold</t>
  </si>
  <si>
    <t>Bupa Insurance Prepaid Journals</t>
  </si>
  <si>
    <t>Bonus Accruals</t>
  </si>
  <si>
    <t>Payroll Bank statement Journals</t>
  </si>
  <si>
    <t xml:space="preserve">Payroll Bank statement Reconciliation </t>
  </si>
  <si>
    <t>Capsw Workday Hours</t>
  </si>
  <si>
    <t>BDI Staement File Exception</t>
  </si>
  <si>
    <t>Navas Hamsa</t>
  </si>
  <si>
    <t>Bhavya</t>
  </si>
  <si>
    <t>Mina Mundhe</t>
  </si>
  <si>
    <t>Dharunya Devi</t>
  </si>
  <si>
    <t>Email templates</t>
  </si>
  <si>
    <t xml:space="preserve">George </t>
  </si>
  <si>
    <t>AMCA_TX_MEX_Refund_Status_Check</t>
  </si>
  <si>
    <t>AMCA_TX_MEX_Tax_Information_Download</t>
  </si>
  <si>
    <t>AMCA_TX_MEX_Tax_Inbox_Review</t>
  </si>
  <si>
    <t>EMEA_TX_NOR_Questionnaire_to_Capego_Data _Transfer</t>
  </si>
  <si>
    <t>EMEA_TX_BEL_Billie                                           </t>
  </si>
  <si>
    <t>AMCA_TX_MEX_eFiling</t>
  </si>
  <si>
    <t>AMCA_IM_CAN_LCA_All_Client</t>
  </si>
  <si>
    <t>APAC_TX_PHL_PayslipPlotting</t>
  </si>
  <si>
    <t>EMEA_TX_LUX_Luxat_Salary_Import</t>
  </si>
  <si>
    <t>EMEA_TX_BEL_SAP_BRS_Clearing</t>
  </si>
  <si>
    <t>Ranjith</t>
  </si>
  <si>
    <t>BJ's Wholesale Club-Hybrid-100% discounted-Service Credit Prepaid-PR-005394</t>
  </si>
  <si>
    <t>Lydonia Te-America Fujiku-Time and Materials-POD-009156</t>
  </si>
  <si>
    <t>Lydonia Te-USI Service Co-Time and Materials-POD-008284</t>
  </si>
  <si>
    <t>Tenet Health-Fixed Price-Partial-Prepaid-007914</t>
  </si>
  <si>
    <t>Workday Inc.-Fixed Price-Prepaid 100% Discounted-009613</t>
  </si>
  <si>
    <t>Deloitte Global Services-Hybrid-Service Credit Prepaid-PR-008208</t>
  </si>
  <si>
    <t>Intel Corporation-Time and Materials-POD-009522</t>
  </si>
  <si>
    <t>Kaiser Foundation Hosp-Fixed Price-Service Credit Prepaid-100% Discounted-008112</t>
  </si>
  <si>
    <t>Bank of America (Global)-Time and Materials-Prepaid-009525</t>
  </si>
  <si>
    <t>Intuit Inc.-Time and Materials-Prepaid-100% Discounted-009564</t>
  </si>
  <si>
    <t>Lydonia Te-Angelo Gordon-T&amp;M-POD-008729</t>
  </si>
  <si>
    <t>Take-Two Interactive Soft-Hybrid-Prepaid-008816</t>
  </si>
  <si>
    <t>Take-Two Interactive Soft-Time and Materials-Prepaid-008666</t>
  </si>
  <si>
    <t>Take-Two Interactive Soft-Time and Materials-Prepaid-009051</t>
  </si>
  <si>
    <t>Carahsoft-New York Power-Fixed-POD-005090</t>
  </si>
  <si>
    <t>Vialto Partners-Hybrid-Service Credit Prepaid-100% Discounted-006378</t>
  </si>
  <si>
    <t>Citizens Bank National A-Fixed Price-100% disc.-Service Credit Prepaid-008086</t>
  </si>
  <si>
    <t>Fresenius Medical Care Ho-Hybrid-Service Credit Prepaid-100% discounted-007929</t>
  </si>
  <si>
    <t>Wells Fargo (Global)-Hybrid-Service Credit-100% Disc- Prepaid-009742</t>
  </si>
  <si>
    <t>JP Morgan Chase(Global-Fixed Price-Service Credit Prepaid-100% Discounted-008300</t>
  </si>
  <si>
    <t>EY US-Adobe Systems-Time and Materials-Prepaid-100% Discounted-009350</t>
  </si>
  <si>
    <t>PT Indosat Tbk-Fixed Price-POD-008937</t>
  </si>
  <si>
    <t>Massachusetts Mutual Life-100%discounted-Service Credit Prepaid-008575</t>
  </si>
  <si>
    <t>Hub International-Time and Materials-POD-009736</t>
  </si>
  <si>
    <t>Hub International-Time and Materials-POD-009743</t>
  </si>
  <si>
    <t>Deloitte AUS AA Migration</t>
  </si>
  <si>
    <t>Deloitte Smart Finance</t>
  </si>
  <si>
    <t>MGM Resorts International-Fixed Price-Prepaid-009499</t>
  </si>
  <si>
    <t>CAMC Health System-Hybrid-POD</t>
  </si>
  <si>
    <t>The Promptcare Companies-Fixed Price-100% DISC-Prepaid-009890</t>
  </si>
  <si>
    <t>The Promptcare Companies-Fixed Price-Prepaid-009891</t>
  </si>
  <si>
    <t>Homeserve USA-Fixed Price-Prepaid-009745</t>
  </si>
  <si>
    <t>Houston Methodist Hospita-Hybrid-Prepaid-100% Discounted-009695</t>
  </si>
  <si>
    <t>Comcast (Cable Communicat-Fixed Price-Prepaid-009360</t>
  </si>
  <si>
    <t>Alliant Credit Union-Time and Materials-POD-009664</t>
  </si>
  <si>
    <t>PepsiCo Inc-Hybrid-Service Credit-100% DISC-Prepaid-009972</t>
  </si>
  <si>
    <t>Lydonia Te-Snap-On Credit-Time and Materials-POD_ PR-009958</t>
  </si>
  <si>
    <t>Lydonia Te-Angelo Gordon-Time and Materials-POD-009816</t>
  </si>
  <si>
    <t>PLDT - https://uipath.lightning.force.com/lightning/r/Account/0011Q000026mb6zQAA/view</t>
  </si>
  <si>
    <t>Tokyo Electron U.S. Holdi-Fixed Price-Prepaid-008051</t>
  </si>
  <si>
    <t xml:space="preserve">Resources
FTE </t>
  </si>
  <si>
    <t>Resources
CW</t>
  </si>
  <si>
    <t>Issues</t>
  </si>
  <si>
    <t>Hub International-Fixed Price-Prepaid-PR-005338</t>
  </si>
  <si>
    <t>MS</t>
  </si>
  <si>
    <t>Fixed Fee</t>
  </si>
  <si>
    <t>No</t>
  </si>
  <si>
    <t>Comms Mining</t>
  </si>
  <si>
    <t>India/US</t>
  </si>
  <si>
    <t>Delivery</t>
  </si>
  <si>
    <t>Service Credit</t>
  </si>
  <si>
    <t>DENSO International Ameri-Time and Materials-Prepaid-006333</t>
  </si>
  <si>
    <t>PACCAR Inc.-Fixed Price-Prepaid-009306</t>
  </si>
  <si>
    <t>Process Mining</t>
  </si>
  <si>
    <t>Bank of New York Mellon-Hybrid-SC Prepaid-100% discounted-3 year-PR-004868</t>
  </si>
  <si>
    <t>Leica Microsystems Inc.-Time and Materials-Prepaid-008832</t>
  </si>
  <si>
    <t xml:space="preserve"> </t>
  </si>
  <si>
    <t>Veolia WTS Services USA-Fixed Price-POD-008558</t>
  </si>
  <si>
    <t>Competitive Migration</t>
  </si>
  <si>
    <t>Platform Migration</t>
  </si>
  <si>
    <t>Infra &amp; Platform Migration</t>
  </si>
  <si>
    <t>BetterUp Inc-Hybrid-Service Credit Prepaid-004953</t>
  </si>
  <si>
    <t>MemorialCare Health Syste-Fixed Price-Prepaid-PR-006221</t>
  </si>
  <si>
    <t>Test Automation</t>
  </si>
  <si>
    <t>AA to UiPath</t>
  </si>
  <si>
    <t>All India Staffing - DU</t>
  </si>
  <si>
    <t>Wabtec Corporation-Hybrid-Prepaid-100% Discounted-009666</t>
  </si>
  <si>
    <t>Google Inc.-Fixed Price-Prepaid-100% Discounted-009073</t>
  </si>
  <si>
    <t>Yet to Start</t>
  </si>
  <si>
    <t>Nissan North America-Time and Materials-Prepaid-PR-007895</t>
  </si>
  <si>
    <t>PRESIDENT INFORMATION COR-T&amp;M-Prepaid-100% Discounted-009383</t>
  </si>
  <si>
    <t>Deloitte</t>
  </si>
  <si>
    <t>Prudential</t>
  </si>
  <si>
    <t>Amazon - TSI Automation (PS)</t>
  </si>
  <si>
    <t>Amazon - Global Freight P-Fixed Price-Prepaid-009950</t>
  </si>
  <si>
    <t>Icertis Inc.-Fixed Price-Service Credit Prepaid</t>
  </si>
  <si>
    <t>Onity Group Inc-Fixed Price-Prepaid-010078</t>
  </si>
  <si>
    <t>Extension for 1 year in Progress - Awaiting SOW customer Signature</t>
  </si>
  <si>
    <r>
      <t xml:space="preserve">Dev efforts exhausted - Chaitalee Shilke
</t>
    </r>
    <r>
      <rPr>
        <b/>
        <sz val="10"/>
        <color theme="1"/>
        <rFont val="Arial"/>
        <family val="2"/>
      </rPr>
      <t>29 Apri</t>
    </r>
    <r>
      <rPr>
        <sz val="10"/>
        <color theme="1"/>
        <rFont val="Arial"/>
        <family val="2"/>
      </rPr>
      <t xml:space="preserve">l  - New SOW  Signature in Progress
Start at Risk approved by Samuel Mongeau
</t>
    </r>
    <r>
      <rPr>
        <b/>
        <sz val="10"/>
        <color theme="1"/>
        <rFont val="Arial"/>
        <family val="2"/>
      </rPr>
      <t xml:space="preserve">27 May </t>
    </r>
    <r>
      <rPr>
        <sz val="10"/>
        <color theme="1"/>
        <rFont val="Arial"/>
        <family val="2"/>
      </rPr>
      <t xml:space="preserve">- Awaiting Project creation </t>
    </r>
  </si>
  <si>
    <t>Santosh &amp; Sidappa</t>
  </si>
  <si>
    <t>Group 1 Automotive-Time and Materials-POD-008966</t>
  </si>
  <si>
    <t>Syed Muzzammil</t>
  </si>
  <si>
    <t>Deeksha SA continues</t>
  </si>
  <si>
    <t>George, Ranjith</t>
  </si>
  <si>
    <t>Organik Kimya San. Tic. A-Fixed Price-Partial Prepaid-009058</t>
  </si>
  <si>
    <t>Vendor Onboarding POC</t>
  </si>
  <si>
    <t>ON HOLD</t>
  </si>
  <si>
    <t xml:space="preserve">Phase II Discovery in Progress -5  Use cases </t>
  </si>
  <si>
    <t>HRDM Audit Areports</t>
  </si>
  <si>
    <t>Imposter Identification Process</t>
  </si>
  <si>
    <t>Apple-Fixed Price-Service Credit Prepaid 100% Discounted-PR-010148</t>
  </si>
  <si>
    <t>Time card 2</t>
  </si>
  <si>
    <t>Taos New Hire Process</t>
  </si>
  <si>
    <t>DC end of shift 820</t>
  </si>
  <si>
    <t>DC end of shift 840</t>
  </si>
  <si>
    <t>DC end of shift 800</t>
  </si>
  <si>
    <t>Alvaria</t>
  </si>
  <si>
    <t>ACH Exception Pkase II</t>
  </si>
  <si>
    <r>
      <t xml:space="preserve">SDD walkthrough on 16 May Conpleted
</t>
    </r>
    <r>
      <rPr>
        <b/>
        <sz val="9"/>
        <color theme="1"/>
        <rFont val="Arial"/>
        <family val="2"/>
      </rPr>
      <t xml:space="preserve">22 May - </t>
    </r>
    <r>
      <rPr>
        <sz val="9"/>
        <color theme="1"/>
        <rFont val="Arial"/>
        <family val="2"/>
      </rPr>
      <t xml:space="preserve">Feedbacks being incorporated
</t>
    </r>
    <r>
      <rPr>
        <b/>
        <sz val="9"/>
        <color theme="1"/>
        <rFont val="Arial"/>
        <family val="2"/>
      </rPr>
      <t xml:space="preserve">12 June </t>
    </r>
    <r>
      <rPr>
        <sz val="9"/>
        <color theme="1"/>
        <rFont val="Arial"/>
        <family val="2"/>
      </rPr>
      <t xml:space="preserve">- SDD sign off received
Test case documenta shared with customer, feedback awaited
</t>
    </r>
    <r>
      <rPr>
        <b/>
        <sz val="9"/>
        <color theme="1"/>
        <rFont val="Arial"/>
        <family val="2"/>
      </rPr>
      <t xml:space="preserve">19 June - </t>
    </r>
    <r>
      <rPr>
        <sz val="9"/>
        <color theme="1"/>
        <rFont val="Arial"/>
        <family val="2"/>
      </rPr>
      <t>Test case doc signed off</t>
    </r>
  </si>
  <si>
    <r>
      <rPr>
        <b/>
        <sz val="9"/>
        <color theme="1"/>
        <rFont val="Arial"/>
        <family val="2"/>
      </rPr>
      <t>12 June</t>
    </r>
    <r>
      <rPr>
        <sz val="9"/>
        <color theme="1"/>
        <rFont val="Arial"/>
        <family val="2"/>
      </rPr>
      <t xml:space="preserve"> - Walkthourgh completed, customer feedbakc awaited 
</t>
    </r>
    <r>
      <rPr>
        <b/>
        <sz val="9"/>
        <color theme="1"/>
        <rFont val="Arial"/>
        <family val="2"/>
      </rPr>
      <t xml:space="preserve">19 June </t>
    </r>
    <r>
      <rPr>
        <sz val="9"/>
        <color theme="1"/>
        <rFont val="Arial"/>
        <family val="2"/>
      </rPr>
      <t>- SDD and Test case do signed off</t>
    </r>
  </si>
  <si>
    <r>
      <rPr>
        <b/>
        <sz val="9"/>
        <color theme="1"/>
        <rFont val="Arial"/>
        <family val="2"/>
      </rPr>
      <t xml:space="preserve">12 June </t>
    </r>
    <r>
      <rPr>
        <sz val="9"/>
        <color theme="1"/>
        <rFont val="Arial"/>
        <family val="2"/>
      </rPr>
      <t>- Code reiew in progress
19 June - Code review completed</t>
    </r>
  </si>
  <si>
    <t>ICS Auto 9335</t>
  </si>
  <si>
    <t>ICS Autom 9587</t>
  </si>
  <si>
    <t>ICS Auto 8826</t>
  </si>
  <si>
    <t>UAT in Progress, Prod deployment planned on 10 July</t>
  </si>
  <si>
    <t>Deployed in Prod on 02 July, 2 weeks Hyper care planned</t>
  </si>
  <si>
    <t>Nihith Shubham</t>
  </si>
  <si>
    <t>Charter Forwarder</t>
  </si>
  <si>
    <r>
      <rPr>
        <b/>
        <sz val="9"/>
        <color theme="1"/>
        <rFont val="Aptos Narrow"/>
        <family val="2"/>
        <scheme val="minor"/>
      </rPr>
      <t>05 May -</t>
    </r>
    <r>
      <rPr>
        <sz val="9"/>
        <color theme="1"/>
        <rFont val="Aptos Narrow"/>
        <family val="2"/>
        <scheme val="minor"/>
      </rPr>
      <t xml:space="preserve">UAT Completed. Waiting for UAT approval
Prod deployment planned on 10 May
</t>
    </r>
    <r>
      <rPr>
        <b/>
        <sz val="9"/>
        <color theme="1"/>
        <rFont val="Aptos Narrow"/>
        <family val="2"/>
        <scheme val="minor"/>
      </rPr>
      <t xml:space="preserve">12 June </t>
    </r>
    <r>
      <rPr>
        <sz val="9"/>
        <color theme="1"/>
        <rFont val="Aptos Narrow"/>
        <family val="2"/>
        <scheme val="minor"/>
      </rPr>
      <t xml:space="preserve">- Prod deployment planned on 13 June 2025
</t>
    </r>
    <r>
      <rPr>
        <b/>
        <sz val="9"/>
        <color theme="1"/>
        <rFont val="Aptos Narrow"/>
        <family val="2"/>
        <scheme val="minor"/>
      </rPr>
      <t>19 June</t>
    </r>
    <r>
      <rPr>
        <sz val="9"/>
        <color theme="1"/>
        <rFont val="Aptos Narrow"/>
        <family val="2"/>
        <scheme val="minor"/>
      </rPr>
      <t xml:space="preserve"> - Deployed in Prod
</t>
    </r>
    <r>
      <rPr>
        <b/>
        <sz val="9"/>
        <color theme="1"/>
        <rFont val="Aptos Narrow"/>
        <family val="2"/>
        <scheme val="minor"/>
      </rPr>
      <t xml:space="preserve">03 July </t>
    </r>
    <r>
      <rPr>
        <sz val="9"/>
        <color theme="1"/>
        <rFont val="Aptos Narrow"/>
        <family val="2"/>
        <scheme val="minor"/>
      </rPr>
      <t>- Handed ver to Customer IT team</t>
    </r>
  </si>
  <si>
    <t>ACH Exception Phase I</t>
  </si>
  <si>
    <t>Account Transfer</t>
  </si>
  <si>
    <t>FinThrive Revenue Systems-Hybrid-Service Credit Prepaid-100% Discounte-PR-009904</t>
  </si>
  <si>
    <t>Class Compliance</t>
  </si>
  <si>
    <r>
      <rPr>
        <b/>
        <sz val="11"/>
        <color theme="1"/>
        <rFont val="Aptos Narrow"/>
        <family val="2"/>
        <scheme val="minor"/>
      </rPr>
      <t>04 June -</t>
    </r>
    <r>
      <rPr>
        <sz val="11"/>
        <color theme="1"/>
        <rFont val="Aptos Narrow"/>
        <family val="2"/>
        <scheme val="minor"/>
      </rPr>
      <t xml:space="preserve"> Hyper care in Progress
</t>
    </r>
    <r>
      <rPr>
        <b/>
        <sz val="11"/>
        <color theme="1"/>
        <rFont val="Aptos Narrow"/>
        <family val="2"/>
        <scheme val="minor"/>
      </rPr>
      <t>11 June</t>
    </r>
    <r>
      <rPr>
        <sz val="11"/>
        <color theme="1"/>
        <rFont val="Aptos Narrow"/>
        <family val="2"/>
        <scheme val="minor"/>
      </rPr>
      <t xml:space="preserve"> - BOT run is smooth no concerns from Biz
</t>
    </r>
    <r>
      <rPr>
        <b/>
        <sz val="11"/>
        <color theme="1"/>
        <rFont val="Aptos Narrow"/>
        <family val="2"/>
        <scheme val="minor"/>
      </rPr>
      <t>09 July</t>
    </r>
    <r>
      <rPr>
        <sz val="11"/>
        <color theme="1"/>
        <rFont val="Aptos Narrow"/>
        <family val="2"/>
        <scheme val="minor"/>
      </rPr>
      <t xml:space="preserve"> - Hypercare signed off</t>
    </r>
  </si>
  <si>
    <t xml:space="preserve">Expecting Biz process changes, </t>
  </si>
  <si>
    <t>Biz confirmation awaited on the changes to be implemented</t>
  </si>
  <si>
    <t>Design</t>
  </si>
  <si>
    <t>Re-uasble component for Slack</t>
  </si>
  <si>
    <t>Vader Street Glide</t>
  </si>
  <si>
    <t>Bhabagrahi Lenka</t>
  </si>
  <si>
    <t>Loan Trading report generation</t>
  </si>
  <si>
    <t>Drug Screening</t>
  </si>
  <si>
    <t>EFT DU Despatcher</t>
  </si>
  <si>
    <t>EFT  Performer</t>
  </si>
  <si>
    <t>Sowmiya P</t>
  </si>
  <si>
    <t xml:space="preserve">Hypercare </t>
  </si>
  <si>
    <r>
      <rPr>
        <b/>
        <sz val="11"/>
        <color theme="1"/>
        <rFont val="Aptos Narrow"/>
        <family val="2"/>
        <scheme val="minor"/>
      </rPr>
      <t xml:space="preserve">04 June - </t>
    </r>
    <r>
      <rPr>
        <sz val="11"/>
        <color theme="1"/>
        <rFont val="Aptos Narrow"/>
        <family val="2"/>
        <scheme val="minor"/>
      </rPr>
      <t xml:space="preserve">UAT planned to start  frpm 05 may based on Biz availability
</t>
    </r>
    <r>
      <rPr>
        <b/>
        <sz val="11"/>
        <color theme="1"/>
        <rFont val="Aptos Narrow"/>
        <family val="2"/>
        <scheme val="minor"/>
      </rPr>
      <t xml:space="preserve">11 June - </t>
    </r>
    <r>
      <rPr>
        <sz val="11"/>
        <color theme="1"/>
        <rFont val="Aptos Narrow"/>
        <family val="2"/>
        <scheme val="minor"/>
      </rPr>
      <t xml:space="preserve">Awaiting  Biz confirmation on UAT
</t>
    </r>
    <r>
      <rPr>
        <b/>
        <sz val="11"/>
        <color theme="1"/>
        <rFont val="Aptos Narrow"/>
        <family val="2"/>
        <scheme val="minor"/>
      </rPr>
      <t xml:space="preserve">09 July </t>
    </r>
    <r>
      <rPr>
        <sz val="11"/>
        <color theme="1"/>
        <rFont val="Aptos Narrow"/>
        <family val="2"/>
        <scheme val="minor"/>
      </rPr>
      <t xml:space="preserve">- Deployed in Prod, Hyper care in Progress
</t>
    </r>
    <r>
      <rPr>
        <b/>
        <sz val="11"/>
        <color theme="1"/>
        <rFont val="Aptos Narrow"/>
        <family val="2"/>
        <scheme val="minor"/>
      </rPr>
      <t>23 July</t>
    </r>
    <r>
      <rPr>
        <sz val="11"/>
        <color theme="1"/>
        <rFont val="Aptos Narrow"/>
        <family val="2"/>
        <scheme val="minor"/>
      </rPr>
      <t xml:space="preserve"> - Hyper care cmpleted and handed over</t>
    </r>
  </si>
  <si>
    <r>
      <rPr>
        <b/>
        <sz val="11"/>
        <color theme="1"/>
        <rFont val="Aptos Narrow"/>
        <family val="2"/>
        <scheme val="minor"/>
      </rPr>
      <t>09 July</t>
    </r>
    <r>
      <rPr>
        <sz val="11"/>
        <color theme="1"/>
        <rFont val="Aptos Narrow"/>
        <family val="2"/>
        <scheme val="minor"/>
      </rPr>
      <t xml:space="preserve">  -  SDD in Progress
</t>
    </r>
    <r>
      <rPr>
        <b/>
        <sz val="11"/>
        <color theme="1"/>
        <rFont val="Aptos Narrow"/>
        <family val="2"/>
        <scheme val="minor"/>
      </rPr>
      <t xml:space="preserve">23 Jul </t>
    </r>
    <r>
      <rPr>
        <sz val="11"/>
        <color theme="1"/>
        <rFont val="Aptos Narrow"/>
        <family val="2"/>
        <scheme val="minor"/>
      </rPr>
      <t>- UAT sign off awaited frm SME</t>
    </r>
  </si>
  <si>
    <t>Sarita Shukla</t>
  </si>
  <si>
    <t xml:space="preserve"> Apply Conserve &amp; January Remittance</t>
  </si>
  <si>
    <t>Trnsaction Code Returns Viza Payments</t>
  </si>
  <si>
    <t>SFDC Ticket E-mail Automation</t>
  </si>
  <si>
    <r>
      <rPr>
        <b/>
        <sz val="9"/>
        <color theme="1"/>
        <rFont val="Arial"/>
        <family val="2"/>
      </rPr>
      <t>12 June -</t>
    </r>
    <r>
      <rPr>
        <sz val="9"/>
        <color theme="1"/>
        <rFont val="Arial"/>
        <family val="2"/>
      </rPr>
      <t xml:space="preserve"> Test case doc in progress
19 June  - Test case doc signed off, however work in progress on the feedback
24 July - 2nd round code review completed</t>
    </r>
  </si>
  <si>
    <t>Rajagopal</t>
  </si>
  <si>
    <t>Tokyo Pack Slip Generation</t>
  </si>
  <si>
    <t>SalesOrder Entry</t>
  </si>
  <si>
    <t>Bank Vs GL</t>
  </si>
  <si>
    <t>UK Stripe Download</t>
  </si>
  <si>
    <t>UK Stripe Postig</t>
  </si>
  <si>
    <t>Missing and Open Receipts</t>
  </si>
  <si>
    <t>Development in Progress</t>
  </si>
  <si>
    <t>VAT B2C</t>
  </si>
  <si>
    <t>SGG Trial Balance Upload</t>
  </si>
  <si>
    <r>
      <rPr>
        <b/>
        <sz val="9"/>
        <color theme="1"/>
        <rFont val="Arial"/>
        <family val="2"/>
      </rPr>
      <t xml:space="preserve">21 May - </t>
    </r>
    <r>
      <rPr>
        <sz val="9"/>
        <color theme="1"/>
        <rFont val="Arial"/>
        <family val="2"/>
      </rPr>
      <t xml:space="preserve">Test case documentations completed  and sign off received
</t>
    </r>
    <r>
      <rPr>
        <b/>
        <sz val="9"/>
        <color theme="1"/>
        <rFont val="Arial"/>
        <family val="2"/>
      </rPr>
      <t>22 May</t>
    </r>
    <r>
      <rPr>
        <sz val="9"/>
        <color theme="1"/>
        <rFont val="Arial"/>
        <family val="2"/>
      </rPr>
      <t xml:space="preserve">  - Development in progress as per schedule
</t>
    </r>
    <r>
      <rPr>
        <b/>
        <sz val="9"/>
        <color theme="1"/>
        <rFont val="Arial"/>
        <family val="2"/>
      </rPr>
      <t>29 May</t>
    </r>
    <r>
      <rPr>
        <sz val="9"/>
        <color theme="1"/>
        <rFont val="Arial"/>
        <family val="2"/>
      </rPr>
      <t xml:space="preserve"> - Client demo today 
</t>
    </r>
    <r>
      <rPr>
        <b/>
        <sz val="9"/>
        <color theme="1"/>
        <rFont val="Arial"/>
        <family val="2"/>
      </rPr>
      <t>12 June</t>
    </r>
    <r>
      <rPr>
        <sz val="9"/>
        <color theme="1"/>
        <rFont val="Arial"/>
        <family val="2"/>
      </rPr>
      <t xml:space="preserve">  - UAT in Progress, delayed by 4 days due to application outage
ETA to complete by 18 June
</t>
    </r>
    <r>
      <rPr>
        <b/>
        <sz val="9"/>
        <color theme="1"/>
        <rFont val="Arial"/>
        <family val="2"/>
      </rPr>
      <t>19 June</t>
    </r>
    <r>
      <rPr>
        <sz val="9"/>
        <color theme="1"/>
        <rFont val="Arial"/>
        <family val="2"/>
      </rPr>
      <t xml:space="preserve"> - UAT to be resumed today
</t>
    </r>
    <r>
      <rPr>
        <b/>
        <sz val="9"/>
        <color theme="1"/>
        <rFont val="Arial"/>
        <family val="2"/>
      </rPr>
      <t>10 July</t>
    </r>
    <r>
      <rPr>
        <sz val="9"/>
        <color theme="1"/>
        <rFont val="Arial"/>
        <family val="2"/>
      </rPr>
      <t xml:space="preserve"> - New set of records provided, needs UAT to be continued
</t>
    </r>
    <r>
      <rPr>
        <b/>
        <sz val="9"/>
        <color theme="1"/>
        <rFont val="Arial"/>
        <family val="2"/>
      </rPr>
      <t>24 July</t>
    </r>
    <r>
      <rPr>
        <sz val="9"/>
        <color theme="1"/>
        <rFont val="Arial"/>
        <family val="2"/>
      </rPr>
      <t xml:space="preserve"> - Deployed in Production, smoke testing today
31 July - Cosmetic changes implemented in Prod and BOT run successfull</t>
    </r>
  </si>
  <si>
    <r>
      <t xml:space="preserve">Dev completed, Integration in Progress
Demo Pllaned on 27 May
</t>
    </r>
    <r>
      <rPr>
        <b/>
        <sz val="9"/>
        <color theme="1"/>
        <rFont val="Arial"/>
        <family val="2"/>
      </rPr>
      <t xml:space="preserve">20 May - </t>
    </r>
    <r>
      <rPr>
        <sz val="9"/>
        <color theme="1"/>
        <rFont val="Arial"/>
        <family val="2"/>
      </rPr>
      <t xml:space="preserve"> Test case documentations completed 
</t>
    </r>
    <r>
      <rPr>
        <b/>
        <sz val="9"/>
        <color theme="1"/>
        <rFont val="Arial"/>
        <family val="2"/>
      </rPr>
      <t xml:space="preserve">12 June </t>
    </r>
    <r>
      <rPr>
        <sz val="9"/>
        <color theme="1"/>
        <rFont val="Arial"/>
        <family val="2"/>
      </rPr>
      <t xml:space="preserve">- Changes are implemented, UAT planned to start today
</t>
    </r>
    <r>
      <rPr>
        <b/>
        <sz val="9"/>
        <color theme="1"/>
        <rFont val="Arial"/>
        <family val="2"/>
      </rPr>
      <t xml:space="preserve">19 June </t>
    </r>
    <r>
      <rPr>
        <sz val="9"/>
        <color theme="1"/>
        <rFont val="Arial"/>
        <family val="2"/>
      </rPr>
      <t xml:space="preserve"> - changes deployed and awaiting biz confirmation
</t>
    </r>
    <r>
      <rPr>
        <b/>
        <sz val="9"/>
        <color theme="1"/>
        <rFont val="Arial"/>
        <family val="2"/>
      </rPr>
      <t>10 July</t>
    </r>
    <r>
      <rPr>
        <sz val="9"/>
        <color theme="1"/>
        <rFont val="Arial"/>
        <family val="2"/>
      </rPr>
      <t xml:space="preserve"> - UAT completed, Live planned on 24 July - Code deployed in Prod
31 July  - BOT running successfully in Prod</t>
    </r>
  </si>
  <si>
    <t>Frontsheet Generation</t>
  </si>
  <si>
    <r>
      <rPr>
        <b/>
        <sz val="9"/>
        <color theme="1"/>
        <rFont val="Arial"/>
        <family val="2"/>
      </rPr>
      <t>09 July</t>
    </r>
    <r>
      <rPr>
        <sz val="9"/>
        <color theme="1"/>
        <rFont val="Arial"/>
        <family val="2"/>
      </rPr>
      <t xml:space="preserve"> - development in Progress
</t>
    </r>
    <r>
      <rPr>
        <b/>
        <sz val="9"/>
        <color theme="1"/>
        <rFont val="Arial"/>
        <family val="2"/>
      </rPr>
      <t>16 July</t>
    </r>
    <r>
      <rPr>
        <sz val="9"/>
        <color theme="1"/>
        <rFont val="Arial"/>
        <family val="2"/>
      </rPr>
      <t xml:space="preserve"> - troubleshooting in progress on Integration services approach on security features.
13 Aug - Published in Prod</t>
    </r>
  </si>
  <si>
    <t>Sys 2 Sys</t>
  </si>
  <si>
    <t>Distressed Order</t>
  </si>
  <si>
    <t>Test data unavailable</t>
  </si>
  <si>
    <t>Wilson to provide test data for development</t>
  </si>
  <si>
    <t xml:space="preserve">Vader SDE </t>
  </si>
  <si>
    <t>GS1 Registration</t>
  </si>
  <si>
    <t>GA Planning</t>
  </si>
  <si>
    <t>Suresh K</t>
  </si>
  <si>
    <t>Nimbus DRP Replication</t>
  </si>
  <si>
    <t>90x Block</t>
  </si>
  <si>
    <r>
      <t xml:space="preserve">Development in progress
</t>
    </r>
    <r>
      <rPr>
        <b/>
        <sz val="9"/>
        <color theme="1"/>
        <rFont val="Aptos Narrow"/>
        <family val="2"/>
        <scheme val="minor"/>
      </rPr>
      <t xml:space="preserve">12 June </t>
    </r>
    <r>
      <rPr>
        <sz val="9"/>
        <color theme="1"/>
        <rFont val="Aptos Narrow"/>
        <family val="2"/>
        <scheme val="minor"/>
      </rPr>
      <t xml:space="preserve">- Code review feedback provided by customer is being tested post implementation
UAT planned to satrt by </t>
    </r>
    <r>
      <rPr>
        <b/>
        <sz val="9"/>
        <color theme="1"/>
        <rFont val="Aptos Narrow"/>
        <family val="2"/>
        <scheme val="minor"/>
      </rPr>
      <t xml:space="preserve">16 June </t>
    </r>
    <r>
      <rPr>
        <sz val="9"/>
        <color theme="1"/>
        <rFont val="Aptos Narrow"/>
        <family val="2"/>
        <scheme val="minor"/>
      </rPr>
      <t xml:space="preserve">
</t>
    </r>
    <r>
      <rPr>
        <b/>
        <sz val="9"/>
        <color theme="1"/>
        <rFont val="Aptos Narrow"/>
        <family val="2"/>
        <scheme val="minor"/>
      </rPr>
      <t>19 June</t>
    </r>
    <r>
      <rPr>
        <sz val="9"/>
        <color theme="1"/>
        <rFont val="Aptos Narrow"/>
        <family val="2"/>
        <scheme val="minor"/>
      </rPr>
      <t xml:space="preserve"> - Dev comleted, UAT planned to satrt on 23 June
</t>
    </r>
    <r>
      <rPr>
        <b/>
        <sz val="9"/>
        <color theme="1"/>
        <rFont val="Aptos Narrow"/>
        <family val="2"/>
        <scheme val="minor"/>
      </rPr>
      <t>03 July</t>
    </r>
    <r>
      <rPr>
        <sz val="9"/>
        <color theme="1"/>
        <rFont val="Aptos Narrow"/>
        <family val="2"/>
        <scheme val="minor"/>
      </rPr>
      <t xml:space="preserve"> - UAT completed and handed over to customer IT on 26 June
</t>
    </r>
    <r>
      <rPr>
        <b/>
        <sz val="9"/>
        <color theme="1"/>
        <rFont val="Aptos Narrow"/>
        <family val="2"/>
        <scheme val="minor"/>
      </rPr>
      <t>10 July</t>
    </r>
    <r>
      <rPr>
        <sz val="9"/>
        <color theme="1"/>
        <rFont val="Aptos Narrow"/>
        <family val="2"/>
        <scheme val="minor"/>
      </rPr>
      <t xml:space="preserve"> - Prod deployment planned today
</t>
    </r>
    <r>
      <rPr>
        <b/>
        <sz val="9"/>
        <color theme="1"/>
        <rFont val="Aptos Narrow"/>
        <family val="2"/>
        <scheme val="minor"/>
      </rPr>
      <t>17 July</t>
    </r>
    <r>
      <rPr>
        <sz val="9"/>
        <color theme="1"/>
        <rFont val="Aptos Narrow"/>
        <family val="2"/>
        <scheme val="minor"/>
      </rPr>
      <t xml:space="preserve"> - Deplyed in Prod
</t>
    </r>
    <r>
      <rPr>
        <b/>
        <sz val="9"/>
        <color theme="1"/>
        <rFont val="Aptos Narrow"/>
        <family val="2"/>
        <scheme val="minor"/>
      </rPr>
      <t>24 July</t>
    </r>
    <r>
      <rPr>
        <sz val="9"/>
        <color theme="1"/>
        <rFont val="Aptos Narrow"/>
        <family val="2"/>
        <scheme val="minor"/>
      </rPr>
      <t xml:space="preserve"> - Lucas is stil looking on the click of Reject button n Prod env- resolved
31 July - Hyper care in progress 
14 AUg - Handed over to Customer</t>
    </r>
  </si>
  <si>
    <t>Jenny</t>
  </si>
  <si>
    <t>Nimbus appication disclosure access to be enabled</t>
  </si>
  <si>
    <t>Finance to Approve.</t>
  </si>
  <si>
    <r>
      <rPr>
        <b/>
        <sz val="9"/>
        <color theme="1"/>
        <rFont val="Arial"/>
        <family val="2"/>
      </rPr>
      <t>22 May 2025 -</t>
    </r>
    <r>
      <rPr>
        <sz val="9"/>
        <color theme="1"/>
        <rFont val="Arial"/>
        <family val="2"/>
      </rPr>
      <t xml:space="preserve"> Development scheudled impacted due to these 2 days of app access outage
</t>
    </r>
    <r>
      <rPr>
        <b/>
        <sz val="9"/>
        <color theme="1"/>
        <rFont val="Arial"/>
        <family val="2"/>
      </rPr>
      <t xml:space="preserve">29 May - </t>
    </r>
    <r>
      <rPr>
        <sz val="9"/>
        <color theme="1"/>
        <rFont val="Arial"/>
        <family val="2"/>
      </rPr>
      <t xml:space="preserve">Dev in progress as per schedule
</t>
    </r>
    <r>
      <rPr>
        <b/>
        <sz val="9"/>
        <color theme="1"/>
        <rFont val="Arial"/>
        <family val="2"/>
      </rPr>
      <t>12 June</t>
    </r>
    <r>
      <rPr>
        <sz val="9"/>
        <color theme="1"/>
        <rFont val="Arial"/>
        <family val="2"/>
      </rPr>
      <t xml:space="preserve">  - Dev delyed due to application down - 4 days  [3-9]
Client demo planned on 18 June
</t>
    </r>
    <r>
      <rPr>
        <b/>
        <sz val="9"/>
        <color theme="1"/>
        <rFont val="Arial"/>
        <family val="2"/>
      </rPr>
      <t>19 June</t>
    </r>
    <r>
      <rPr>
        <sz val="9"/>
        <color theme="1"/>
        <rFont val="Arial"/>
        <family val="2"/>
      </rPr>
      <t xml:space="preserve">  - Demo reschuled on 20 June, due to labor worx app outage
</t>
    </r>
    <r>
      <rPr>
        <b/>
        <sz val="9"/>
        <color theme="1"/>
        <rFont val="Arial"/>
        <family val="2"/>
      </rPr>
      <t>10 July</t>
    </r>
    <r>
      <rPr>
        <sz val="9"/>
        <color theme="1"/>
        <rFont val="Arial"/>
        <family val="2"/>
      </rPr>
      <t xml:space="preserve"> - UAT in Progress
24 July - Code deloyed in Prod, smole testing today
31 July - Prod env issues fixed  and BOT run being monitored, next run is only on 17 Aug
</t>
    </r>
  </si>
  <si>
    <r>
      <rPr>
        <b/>
        <sz val="9"/>
        <color theme="1"/>
        <rFont val="Arial"/>
        <family val="2"/>
      </rPr>
      <t xml:space="preserve">12 June </t>
    </r>
    <r>
      <rPr>
        <sz val="9"/>
        <color theme="1"/>
        <rFont val="Arial"/>
        <family val="2"/>
      </rPr>
      <t xml:space="preserve">- Development in Progress
</t>
    </r>
    <r>
      <rPr>
        <b/>
        <sz val="9"/>
        <color theme="1"/>
        <rFont val="Arial"/>
        <family val="2"/>
      </rPr>
      <t>19 June</t>
    </r>
    <r>
      <rPr>
        <sz val="9"/>
        <color theme="1"/>
        <rFont val="Arial"/>
        <family val="2"/>
      </rPr>
      <t xml:space="preserve"> - Demo planned om 26 June 
</t>
    </r>
    <r>
      <rPr>
        <b/>
        <sz val="9"/>
        <color theme="1"/>
        <rFont val="Arial"/>
        <family val="2"/>
      </rPr>
      <t>10 July</t>
    </r>
    <r>
      <rPr>
        <sz val="9"/>
        <color theme="1"/>
        <rFont val="Arial"/>
        <family val="2"/>
      </rPr>
      <t xml:space="preserve"> - UAT to be continued
24 July - UAT in Progress, with minor e-mail formating changes being implemented, UAT sign of expected by mnday the 28/07
31 July - UAT sign off awaited from SME
07 Aug - changes implemented awaiting  user confirmation
14 Aug - Deployed in Prod, 2 KT's given to customer
21 Aug - Handed over to customer </t>
    </r>
  </si>
  <si>
    <r>
      <rPr>
        <b/>
        <sz val="9"/>
        <color theme="1"/>
        <rFont val="Arial"/>
        <family val="2"/>
      </rPr>
      <t>10 July</t>
    </r>
    <r>
      <rPr>
        <sz val="9"/>
        <color theme="1"/>
        <rFont val="Arial"/>
        <family val="2"/>
      </rPr>
      <t xml:space="preserve"> - Dev in Progress
24 July - Dev planned to completed by 04/08 - , Awaiting SME confirmation on Biz Logics
07 Aug  - Development in progress
14 Aug - Development planned to complete by 19 Aug, enhancement being updated in PDD, SDD
21 Aug - Feedbacks being implemented</t>
    </r>
  </si>
  <si>
    <r>
      <rPr>
        <b/>
        <sz val="9"/>
        <color theme="1"/>
        <rFont val="Arial"/>
        <family val="2"/>
      </rPr>
      <t xml:space="preserve">19 June </t>
    </r>
    <r>
      <rPr>
        <sz val="9"/>
        <color theme="1"/>
        <rFont val="Arial"/>
        <family val="2"/>
      </rPr>
      <t xml:space="preserve">- Dev planned to start by 24 June
</t>
    </r>
    <r>
      <rPr>
        <b/>
        <sz val="9"/>
        <color theme="1"/>
        <rFont val="Arial"/>
        <family val="2"/>
      </rPr>
      <t>10 July</t>
    </r>
    <r>
      <rPr>
        <sz val="9"/>
        <color theme="1"/>
        <rFont val="Arial"/>
        <family val="2"/>
      </rPr>
      <t xml:space="preserve"> - Dev in progress
24 July -  Dev in Progress
31 Aug - Dev in progress, completion on 08 Aug
07 Aug - Dev in progress
21 Aug - demo planned today, UAT planned to satrt by 22 Aug and close by 29 Aug</t>
    </r>
  </si>
  <si>
    <r>
      <t xml:space="preserve">Development temporarily on Hold will resume once Cash Recon is completed
</t>
    </r>
    <r>
      <rPr>
        <b/>
        <sz val="9"/>
        <color theme="1"/>
        <rFont val="Arial"/>
        <family val="2"/>
      </rPr>
      <t>10 July</t>
    </r>
    <r>
      <rPr>
        <sz val="9"/>
        <color theme="1"/>
        <rFont val="Arial"/>
        <family val="2"/>
      </rPr>
      <t xml:space="preserve"> - Training of docs in Progress [700docs] - DU part in Progress
24 July - DU Process 90% completed, first cust feedback, customer confirmed as expected
31 July - complete development by 31 July and start Performer RPA Bot
07 Aug - Despatcher completed
</t>
    </r>
  </si>
  <si>
    <t>24 July - Test case doc prepartion in progress
31 July - planned to complete by 05 Aug
07 Aug - Performer development in progress
21 Aug - Performer dev in Progress</t>
  </si>
  <si>
    <t>21 Aug - VM performance - slowness is impacting the development</t>
  </si>
  <si>
    <t>communicated to PM and customer</t>
  </si>
  <si>
    <t>Test Data dependency</t>
  </si>
  <si>
    <t>Jordan to provide test data</t>
  </si>
  <si>
    <t>Amaladeepan</t>
  </si>
  <si>
    <t>Claim Status UHC</t>
  </si>
  <si>
    <r>
      <rPr>
        <b/>
        <sz val="9"/>
        <color theme="1"/>
        <rFont val="Aptos Narrow"/>
        <family val="2"/>
        <scheme val="minor"/>
      </rPr>
      <t xml:space="preserve">26 May - </t>
    </r>
    <r>
      <rPr>
        <sz val="9"/>
        <color theme="1"/>
        <rFont val="Aptos Narrow"/>
        <family val="2"/>
        <scheme val="minor"/>
      </rPr>
      <t xml:space="preserve">PDD approved
 </t>
    </r>
    <r>
      <rPr>
        <b/>
        <sz val="9"/>
        <color theme="1"/>
        <rFont val="Aptos Narrow"/>
        <family val="2"/>
        <scheme val="minor"/>
      </rPr>
      <t>30 May</t>
    </r>
    <r>
      <rPr>
        <sz val="9"/>
        <color theme="1"/>
        <rFont val="Aptos Narrow"/>
        <family val="2"/>
        <scheme val="minor"/>
      </rPr>
      <t xml:space="preserve"> - SDD Approved
</t>
    </r>
    <r>
      <rPr>
        <b/>
        <sz val="9"/>
        <color theme="1"/>
        <rFont val="Aptos Narrow"/>
        <family val="2"/>
        <scheme val="minor"/>
      </rPr>
      <t>20 May</t>
    </r>
    <r>
      <rPr>
        <sz val="9"/>
        <color theme="1"/>
        <rFont val="Aptos Narrow"/>
        <family val="2"/>
        <scheme val="minor"/>
      </rPr>
      <t xml:space="preserve"> - Development in Progress  - 70%
</t>
    </r>
    <r>
      <rPr>
        <b/>
        <sz val="9"/>
        <color theme="1"/>
        <rFont val="Aptos Narrow"/>
        <family val="2"/>
        <scheme val="minor"/>
      </rPr>
      <t>02 June</t>
    </r>
    <r>
      <rPr>
        <sz val="9"/>
        <color theme="1"/>
        <rFont val="Aptos Narrow"/>
        <family val="2"/>
        <scheme val="minor"/>
      </rPr>
      <t xml:space="preserve">  - Dev completed 
</t>
    </r>
    <r>
      <rPr>
        <b/>
        <sz val="9"/>
        <color theme="1"/>
        <rFont val="Aptos Narrow"/>
        <family val="2"/>
        <scheme val="minor"/>
      </rPr>
      <t>05 Jun</t>
    </r>
    <r>
      <rPr>
        <sz val="9"/>
        <color theme="1"/>
        <rFont val="Aptos Narrow"/>
        <family val="2"/>
        <scheme val="minor"/>
      </rPr>
      <t xml:space="preserve"> - Dmeo given to Customer and UAT commenced
</t>
    </r>
    <r>
      <rPr>
        <b/>
        <sz val="9"/>
        <color theme="1"/>
        <rFont val="Aptos Narrow"/>
        <family val="2"/>
        <scheme val="minor"/>
      </rPr>
      <t>09 May</t>
    </r>
    <r>
      <rPr>
        <sz val="9"/>
        <color theme="1"/>
        <rFont val="Aptos Narrow"/>
        <family val="2"/>
        <scheme val="minor"/>
      </rPr>
      <t xml:space="preserve"> - UAT in Progress, changes incorporated per the feedback from SME 
</t>
    </r>
    <r>
      <rPr>
        <b/>
        <sz val="9"/>
        <color theme="1"/>
        <rFont val="Aptos Narrow"/>
        <family val="2"/>
        <scheme val="minor"/>
      </rPr>
      <t xml:space="preserve">16 June  </t>
    </r>
    <r>
      <rPr>
        <sz val="9"/>
        <color theme="1"/>
        <rFont val="Aptos Narrow"/>
        <family val="2"/>
        <scheme val="minor"/>
      </rPr>
      <t xml:space="preserve">- UAT Completed, awaiting approval frm Biz
</t>
    </r>
    <r>
      <rPr>
        <b/>
        <sz val="9"/>
        <color theme="1"/>
        <rFont val="Aptos Narrow"/>
        <family val="2"/>
        <scheme val="minor"/>
      </rPr>
      <t>19 June</t>
    </r>
    <r>
      <rPr>
        <sz val="9"/>
        <color theme="1"/>
        <rFont val="Aptos Narrow"/>
        <family val="2"/>
        <scheme val="minor"/>
      </rPr>
      <t xml:space="preserve">  - UAT Completed, awaiting approval frm Biz
</t>
    </r>
    <r>
      <rPr>
        <b/>
        <sz val="9"/>
        <color theme="1"/>
        <rFont val="Aptos Narrow"/>
        <family val="2"/>
        <scheme val="minor"/>
      </rPr>
      <t>07 July</t>
    </r>
    <r>
      <rPr>
        <sz val="9"/>
        <color theme="1"/>
        <rFont val="Aptos Narrow"/>
        <family val="2"/>
        <scheme val="minor"/>
      </rPr>
      <t xml:space="preserve"> - UAT Approved KT given to Capgemini Support team
</t>
    </r>
    <r>
      <rPr>
        <b/>
        <sz val="9"/>
        <color theme="1"/>
        <rFont val="Aptos Narrow"/>
        <family val="2"/>
        <scheme val="minor"/>
      </rPr>
      <t xml:space="preserve">21 July </t>
    </r>
    <r>
      <rPr>
        <sz val="9"/>
        <color theme="1"/>
        <rFont val="Aptos Narrow"/>
        <family val="2"/>
        <scheme val="minor"/>
      </rPr>
      <t xml:space="preserve">- Enahancements implemenetd  final UAT planned today
</t>
    </r>
    <r>
      <rPr>
        <b/>
        <sz val="9"/>
        <color theme="1"/>
        <rFont val="Aptos Narrow"/>
        <family val="2"/>
        <scheme val="minor"/>
      </rPr>
      <t xml:space="preserve">28 July </t>
    </r>
    <r>
      <rPr>
        <sz val="9"/>
        <color theme="1"/>
        <rFont val="Aptos Narrow"/>
        <family val="2"/>
        <scheme val="minor"/>
      </rPr>
      <t xml:space="preserve">- Prod acces to workday account is yet to be enabled for BOT
</t>
    </r>
    <r>
      <rPr>
        <b/>
        <sz val="9"/>
        <color theme="1"/>
        <rFont val="Aptos Narrow"/>
        <family val="2"/>
        <scheme val="minor"/>
      </rPr>
      <t>04 Aug</t>
    </r>
    <r>
      <rPr>
        <sz val="9"/>
        <color theme="1"/>
        <rFont val="Aptos Narrow"/>
        <family val="2"/>
        <scheme val="minor"/>
      </rPr>
      <t xml:space="preserve"> - NO finm dates on Prod access from Security team
25 Aug - Handed Over to Comcast/ Capgemini</t>
    </r>
  </si>
  <si>
    <r>
      <rPr>
        <b/>
        <sz val="9"/>
        <color theme="1"/>
        <rFont val="Aptos Narrow"/>
        <family val="2"/>
        <scheme val="minor"/>
      </rPr>
      <t xml:space="preserve">04 June </t>
    </r>
    <r>
      <rPr>
        <sz val="9"/>
        <color theme="1"/>
        <rFont val="Aptos Narrow"/>
        <family val="2"/>
        <scheme val="minor"/>
      </rPr>
      <t xml:space="preserve">- Development planned to start provided PDD is apprived by Customer
</t>
    </r>
    <r>
      <rPr>
        <b/>
        <sz val="9"/>
        <color theme="1"/>
        <rFont val="Aptos Narrow"/>
        <family val="2"/>
        <scheme val="minor"/>
      </rPr>
      <t xml:space="preserve">16 June </t>
    </r>
    <r>
      <rPr>
        <sz val="9"/>
        <color theme="1"/>
        <rFont val="Aptos Narrow"/>
        <family val="2"/>
        <scheme val="minor"/>
      </rPr>
      <t xml:space="preserve">- SDD approved and Dev in Progress
</t>
    </r>
    <r>
      <rPr>
        <b/>
        <sz val="9"/>
        <color theme="1"/>
        <rFont val="Aptos Narrow"/>
        <family val="2"/>
        <scheme val="minor"/>
      </rPr>
      <t>19 June</t>
    </r>
    <r>
      <rPr>
        <sz val="9"/>
        <color theme="1"/>
        <rFont val="Aptos Narrow"/>
        <family val="2"/>
        <scheme val="minor"/>
      </rPr>
      <t xml:space="preserve"> - Code review planned today
</t>
    </r>
    <r>
      <rPr>
        <b/>
        <sz val="9"/>
        <color theme="1"/>
        <rFont val="Aptos Narrow"/>
        <family val="2"/>
        <scheme val="minor"/>
      </rPr>
      <t>07 July</t>
    </r>
    <r>
      <rPr>
        <sz val="9"/>
        <color theme="1"/>
        <rFont val="Aptos Narrow"/>
        <family val="2"/>
        <scheme val="minor"/>
      </rPr>
      <t xml:space="preserve"> - UAT Approved KT given to Capgemini Support team
</t>
    </r>
    <r>
      <rPr>
        <b/>
        <sz val="9"/>
        <color theme="1"/>
        <rFont val="Aptos Narrow"/>
        <family val="2"/>
        <scheme val="minor"/>
      </rPr>
      <t xml:space="preserve">21 July </t>
    </r>
    <r>
      <rPr>
        <sz val="9"/>
        <color theme="1"/>
        <rFont val="Aptos Narrow"/>
        <family val="2"/>
        <scheme val="minor"/>
      </rPr>
      <t>-  Workday access in prod envuronment to be enabled
04 Aug - UAT approved, awiating Prod deployment
25 AUg - Handed over to COmcast / Capgemini</t>
    </r>
  </si>
  <si>
    <t>Open Shft Process</t>
  </si>
  <si>
    <t>PDD approved in development</t>
  </si>
  <si>
    <t>To Be Taken after 820</t>
  </si>
  <si>
    <t>24 July - development and testing in progress, 
31 July - Testing   in progress on the exception handling steps
07 Aug - Development and Internal testing completed, UAT to start, post demo on 12 Aug
14 Aug - Testing in Progress by ops team
21 Aug - BOT Access in prod in unavailable, expected mid of Sep, Awaiting new process for development from Varchasv
28 Aug - Feedback awaited from Biz</t>
  </si>
  <si>
    <t>25 July - Hyper care in Progress
01 Aug - New Pop up in prod is impacting the BOT run, awaiting inputs from SME
22 Aug - Awaiting Biz Sign off
29 Aug - Signed off by Biz</t>
  </si>
  <si>
    <t>25 July - Hyper care in Progress
01 Aug - New Pop up in prod is impacting the BOT run, awaiting inputs from SME - 01 Aug, expecting Biz to show us the Pop up to handle them in BOT 
22 Aug - Awaiting Biz Sign off
29 Aug - Signed of by Biz</t>
  </si>
  <si>
    <t>25 July - Dev in progress
22 Aug - UAT in orogress, whle changes are being incorporated ETA 22 Aug
29 Aug - Prod Go-Live today, hyer care planned b/w 1 to 5 Sep and KT</t>
  </si>
  <si>
    <r>
      <rPr>
        <b/>
        <sz val="9"/>
        <color theme="1"/>
        <rFont val="Arial"/>
        <family val="2"/>
      </rPr>
      <t xml:space="preserve">25 July </t>
    </r>
    <r>
      <rPr>
        <sz val="9"/>
        <color theme="1"/>
        <rFont val="Arial"/>
        <family val="2"/>
      </rPr>
      <t xml:space="preserve">- Dev in progress,Changes being incorporated, to be closed by 28 July
</t>
    </r>
    <r>
      <rPr>
        <b/>
        <sz val="9"/>
        <color theme="1"/>
        <rFont val="Arial"/>
        <family val="2"/>
      </rPr>
      <t xml:space="preserve">01 Aug </t>
    </r>
    <r>
      <rPr>
        <sz val="9"/>
        <color theme="1"/>
        <rFont val="Arial"/>
        <family val="2"/>
      </rPr>
      <t xml:space="preserve">- Sap credentials and access enabled today, UAT planned to satrt by 05 Aug, awaiting test data
</t>
    </r>
    <r>
      <rPr>
        <b/>
        <sz val="9"/>
        <color theme="1"/>
        <rFont val="Arial"/>
        <family val="2"/>
      </rPr>
      <t>22 Aug</t>
    </r>
    <r>
      <rPr>
        <sz val="9"/>
        <color theme="1"/>
        <rFont val="Arial"/>
        <family val="2"/>
      </rPr>
      <t xml:space="preserve"> - UAT completed, awaiting customer sign off for Prod movement planned  next week
28 Aug -  SMoke testing is already in Progress, Awaiting Biz approval on Prod Sign off,</t>
    </r>
  </si>
  <si>
    <t>Denials Itemized Process</t>
  </si>
  <si>
    <t>Icost</t>
  </si>
  <si>
    <t>Somiya P</t>
  </si>
  <si>
    <t>GA Inputs</t>
  </si>
  <si>
    <t>03 Sep - awaiting biz inputs on next steps</t>
  </si>
  <si>
    <t>22 Aug - Requirement gathering in progress
28 Aug - Development in Progress
04 Sep - Customer is re-thinking on the solutionig and temporarily on HOLD</t>
  </si>
  <si>
    <t>T&amp;E Citi Bank Reconciliation</t>
  </si>
  <si>
    <t>T&amp;E Corp CC Accruel</t>
  </si>
  <si>
    <t>04 Sep - Discovery in Progress</t>
  </si>
  <si>
    <t>Deffered Revenue</t>
  </si>
  <si>
    <t>04 Sep - Changes being incorporated</t>
  </si>
  <si>
    <r>
      <rPr>
        <b/>
        <sz val="9"/>
        <color theme="1"/>
        <rFont val="Arial"/>
        <family val="2"/>
      </rPr>
      <t xml:space="preserve">25 July </t>
    </r>
    <r>
      <rPr>
        <sz val="9"/>
        <color theme="1"/>
        <rFont val="Arial"/>
        <family val="2"/>
      </rPr>
      <t xml:space="preserve">- Dev targetted to complete today, Internal demo and UAT to start on 28 July 
</t>
    </r>
    <r>
      <rPr>
        <b/>
        <sz val="9"/>
        <color theme="1"/>
        <rFont val="Arial"/>
        <family val="2"/>
      </rPr>
      <t>01 Aug</t>
    </r>
    <r>
      <rPr>
        <sz val="9"/>
        <color theme="1"/>
        <rFont val="Arial"/>
        <family val="2"/>
      </rPr>
      <t xml:space="preserve"> - Dev SAP testing to be done today, UAT likely to satrt by 05 Aug , 
</t>
    </r>
    <r>
      <rPr>
        <b/>
        <sz val="9"/>
        <color theme="1"/>
        <rFont val="Arial"/>
        <family val="2"/>
      </rPr>
      <t xml:space="preserve">22 Aug - </t>
    </r>
    <r>
      <rPr>
        <sz val="9"/>
        <color theme="1"/>
        <rFont val="Arial"/>
        <family val="2"/>
      </rPr>
      <t xml:space="preserve"> UAT completed, go-Live planned today
28 Aug - Hyper care in Progress
05 Sep - Awaiting customer sign off, while BOT runs are succesfull</t>
    </r>
  </si>
  <si>
    <t>Supplier Managed Inventory</t>
  </si>
  <si>
    <r>
      <rPr>
        <b/>
        <sz val="9"/>
        <color theme="1"/>
        <rFont val="Aptos Narrow"/>
        <family val="2"/>
        <scheme val="minor"/>
      </rPr>
      <t xml:space="preserve">23 June </t>
    </r>
    <r>
      <rPr>
        <sz val="9"/>
        <color theme="1"/>
        <rFont val="Aptos Narrow"/>
        <family val="2"/>
        <scheme val="minor"/>
      </rPr>
      <t xml:space="preserve">- As per inputs frm Sales, we hall wait till 30 June on the customer response to resume the Scoping and estimation
</t>
    </r>
    <r>
      <rPr>
        <b/>
        <sz val="9"/>
        <color theme="1"/>
        <rFont val="Aptos Narrow"/>
        <family val="2"/>
        <scheme val="minor"/>
      </rPr>
      <t>07 July</t>
    </r>
    <r>
      <rPr>
        <sz val="9"/>
        <color theme="1"/>
        <rFont val="Aptos Narrow"/>
        <family val="2"/>
        <scheme val="minor"/>
      </rPr>
      <t xml:space="preserve"> - Fruther udpates awaited from customer, likely in next 1 week
04 Aug - Phase II discovery approval waited from leadershipto start discovery
01 Sep - Upon completion of PHase I, ROI, Phase II to be decided
</t>
    </r>
  </si>
  <si>
    <r>
      <rPr>
        <b/>
        <sz val="9"/>
        <color theme="1"/>
        <rFont val="Aptos Narrow"/>
        <family val="2"/>
        <scheme val="minor"/>
      </rPr>
      <t>15 May -</t>
    </r>
    <r>
      <rPr>
        <sz val="9"/>
        <color theme="1"/>
        <rFont val="Aptos Narrow"/>
        <family val="2"/>
        <scheme val="minor"/>
      </rPr>
      <t xml:space="preserve"> SDD Completed, awaiting the model approach frm Customer, basis which SDD to be updated
</t>
    </r>
    <r>
      <rPr>
        <b/>
        <sz val="9"/>
        <color theme="1"/>
        <rFont val="Aptos Narrow"/>
        <family val="2"/>
        <scheme val="minor"/>
      </rPr>
      <t xml:space="preserve">21 May </t>
    </r>
    <r>
      <rPr>
        <sz val="9"/>
        <color theme="1"/>
        <rFont val="Aptos Narrow"/>
        <family val="2"/>
        <scheme val="minor"/>
      </rPr>
      <t xml:space="preserve">- SDD Approved
development planned to complete </t>
    </r>
    <r>
      <rPr>
        <b/>
        <sz val="9"/>
        <color theme="1"/>
        <rFont val="Aptos Narrow"/>
        <family val="2"/>
        <scheme val="minor"/>
      </rPr>
      <t>02 June
UAT start to be discussed with customer</t>
    </r>
    <r>
      <rPr>
        <sz val="9"/>
        <color theme="1"/>
        <rFont val="Aptos Narrow"/>
        <family val="2"/>
        <scheme val="minor"/>
      </rPr>
      <t xml:space="preserve">
</t>
    </r>
    <r>
      <rPr>
        <b/>
        <sz val="9"/>
        <color theme="1"/>
        <rFont val="Aptos Narrow"/>
        <family val="2"/>
        <scheme val="minor"/>
      </rPr>
      <t xml:space="preserve">05 June </t>
    </r>
    <r>
      <rPr>
        <sz val="9"/>
        <color theme="1"/>
        <rFont val="Aptos Narrow"/>
        <family val="2"/>
        <scheme val="minor"/>
      </rPr>
      <t xml:space="preserve">- Demo given to customer
</t>
    </r>
    <r>
      <rPr>
        <b/>
        <sz val="9"/>
        <color theme="1"/>
        <rFont val="Aptos Narrow"/>
        <family val="2"/>
        <scheme val="minor"/>
      </rPr>
      <t>09 June</t>
    </r>
    <r>
      <rPr>
        <sz val="9"/>
        <color theme="1"/>
        <rFont val="Aptos Narrow"/>
        <family val="2"/>
        <scheme val="minor"/>
      </rPr>
      <t xml:space="preserve"> - changes being incorporated, UAT to resume frm 10 June
</t>
    </r>
    <r>
      <rPr>
        <b/>
        <sz val="9"/>
        <color theme="1"/>
        <rFont val="Aptos Narrow"/>
        <family val="2"/>
        <scheme val="minor"/>
      </rPr>
      <t xml:space="preserve">16 June  - </t>
    </r>
    <r>
      <rPr>
        <sz val="9"/>
        <color theme="1"/>
        <rFont val="Aptos Narrow"/>
        <family val="2"/>
        <scheme val="minor"/>
      </rPr>
      <t xml:space="preserve">UAT Completed, awaiting approved by Biz
</t>
    </r>
    <r>
      <rPr>
        <b/>
        <sz val="9"/>
        <color theme="1"/>
        <rFont val="Aptos Narrow"/>
        <family val="2"/>
        <scheme val="minor"/>
      </rPr>
      <t>23 July</t>
    </r>
    <r>
      <rPr>
        <sz val="9"/>
        <color theme="1"/>
        <rFont val="Aptos Narrow"/>
        <family val="2"/>
        <scheme val="minor"/>
      </rPr>
      <t xml:space="preserve"> - NO LIve data available in Prod GO_Live, planned n 1st week of July
</t>
    </r>
    <r>
      <rPr>
        <b/>
        <sz val="9"/>
        <color theme="1"/>
        <rFont val="Aptos Narrow"/>
        <family val="2"/>
        <scheme val="minor"/>
      </rPr>
      <t>07 July -</t>
    </r>
    <r>
      <rPr>
        <sz val="9"/>
        <color theme="1"/>
        <rFont val="Aptos Narrow"/>
        <family val="2"/>
        <scheme val="minor"/>
      </rPr>
      <t xml:space="preserve"> UAT Approved KT given to Capgemini Support team
</t>
    </r>
    <r>
      <rPr>
        <b/>
        <sz val="9"/>
        <color theme="1"/>
        <rFont val="Aptos Narrow"/>
        <family val="2"/>
        <scheme val="minor"/>
      </rPr>
      <t xml:space="preserve">21 July </t>
    </r>
    <r>
      <rPr>
        <sz val="9"/>
        <color theme="1"/>
        <rFont val="Aptos Narrow"/>
        <family val="2"/>
        <scheme val="minor"/>
      </rPr>
      <t xml:space="preserve">- Prod deployment to be doe b Capegemini
</t>
    </r>
    <r>
      <rPr>
        <b/>
        <sz val="9"/>
        <color theme="1"/>
        <rFont val="Aptos Narrow"/>
        <family val="2"/>
        <scheme val="minor"/>
      </rPr>
      <t>28 July</t>
    </r>
    <r>
      <rPr>
        <sz val="9"/>
        <color theme="1"/>
        <rFont val="Aptos Narrow"/>
        <family val="2"/>
        <scheme val="minor"/>
      </rPr>
      <t xml:space="preserve"> - Yet to be deployed in Prod, awaiting Biz sign off
04 Aug - Live in Prod, Hyper care in Progress
25 Aug - Awaiting Custoemr sign off this week
01 Sep - to be handed over to Support on 05 Sep
08 Sep -  - Handed over to COmcast / Capgemini</t>
    </r>
  </si>
  <si>
    <t>Handed over to Support</t>
  </si>
  <si>
    <t>Cash Varience</t>
  </si>
  <si>
    <t>Special Order Tire Stickers</t>
  </si>
  <si>
    <t>05 Sep - Development in Progress
SAP access alone nebaled, awaiting other app access
12 Sep - 30 Sep Dev planned to connect</t>
  </si>
  <si>
    <t xml:space="preserve">SAP data access to be enabled </t>
  </si>
  <si>
    <t>APO GA Planning</t>
  </si>
  <si>
    <t>03 Sep - Dev in progress
17 Sep - Demo scheduled on 18 and Client demo on 19 Sep</t>
  </si>
  <si>
    <t>13 Aug - Hyper care in Progress
03 Sep - KT Completed, awaiting confirmation, 
17 Sep - documentation in progress due to template change</t>
  </si>
  <si>
    <t>17 Sep - server access awaited</t>
  </si>
  <si>
    <t>Vanisri to enable system account access</t>
  </si>
  <si>
    <t>Auto GSM and FPM Capex</t>
  </si>
  <si>
    <t>17 Sep - Bluebird application UI access,  API access to be enabled</t>
  </si>
  <si>
    <t>Aristo to enable the required API access
Santosh to enable application access</t>
  </si>
  <si>
    <t>MS Reconciliation process</t>
  </si>
  <si>
    <t>Capsw missing hours</t>
  </si>
  <si>
    <r>
      <rPr>
        <b/>
        <sz val="9"/>
        <color theme="1"/>
        <rFont val="Aptos Narrow"/>
        <family val="2"/>
        <scheme val="minor"/>
      </rPr>
      <t>12 June</t>
    </r>
    <r>
      <rPr>
        <sz val="9"/>
        <color theme="1"/>
        <rFont val="Aptos Narrow"/>
        <family val="2"/>
        <scheme val="minor"/>
      </rPr>
      <t xml:space="preserve"> - Developent in Progress
</t>
    </r>
    <r>
      <rPr>
        <b/>
        <sz val="9"/>
        <color theme="1"/>
        <rFont val="Aptos Narrow"/>
        <family val="2"/>
        <scheme val="minor"/>
      </rPr>
      <t xml:space="preserve">03 July </t>
    </r>
    <r>
      <rPr>
        <sz val="9"/>
        <color theme="1"/>
        <rFont val="Aptos Narrow"/>
        <family val="2"/>
        <scheme val="minor"/>
      </rPr>
      <t xml:space="preserve">- Dev cmpleted on 30 June, UAT planned start on 07 July 
</t>
    </r>
    <r>
      <rPr>
        <b/>
        <sz val="9"/>
        <color theme="1"/>
        <rFont val="Aptos Narrow"/>
        <family val="2"/>
        <scheme val="minor"/>
      </rPr>
      <t>10 July -</t>
    </r>
    <r>
      <rPr>
        <sz val="9"/>
        <color theme="1"/>
        <rFont val="Aptos Narrow"/>
        <family val="2"/>
        <scheme val="minor"/>
      </rPr>
      <t xml:space="preserve"> UAT completed and received sign off, Prod deployment planned on 15 July
</t>
    </r>
    <r>
      <rPr>
        <b/>
        <sz val="9"/>
        <color theme="1"/>
        <rFont val="Aptos Narrow"/>
        <family val="2"/>
        <scheme val="minor"/>
      </rPr>
      <t xml:space="preserve">17 July </t>
    </r>
    <r>
      <rPr>
        <sz val="9"/>
        <color theme="1"/>
        <rFont val="Aptos Narrow"/>
        <family val="2"/>
        <scheme val="minor"/>
      </rPr>
      <t xml:space="preserve">- Prod deployment planned on 22 July 
</t>
    </r>
    <r>
      <rPr>
        <b/>
        <sz val="9"/>
        <color theme="1"/>
        <rFont val="Aptos Narrow"/>
        <family val="2"/>
        <scheme val="minor"/>
      </rPr>
      <t>24 Jul</t>
    </r>
    <r>
      <rPr>
        <sz val="9"/>
        <color theme="1"/>
        <rFont val="Aptos Narrow"/>
        <family val="2"/>
        <scheme val="minor"/>
      </rPr>
      <t xml:space="preserve"> - Dpeloyed in Prod on 23/07, working as expected, Hyper care in Progress
</t>
    </r>
    <r>
      <rPr>
        <b/>
        <sz val="9"/>
        <color theme="1"/>
        <rFont val="Aptos Narrow"/>
        <family val="2"/>
        <scheme val="minor"/>
      </rPr>
      <t xml:space="preserve">31 July </t>
    </r>
    <r>
      <rPr>
        <sz val="9"/>
        <color theme="1"/>
        <rFont val="Aptos Narrow"/>
        <family val="2"/>
        <scheme val="minor"/>
      </rPr>
      <t>- Hyper execution smooth - handed over to Customer</t>
    </r>
  </si>
  <si>
    <r>
      <rPr>
        <b/>
        <sz val="9"/>
        <color theme="1"/>
        <rFont val="Aptos Narrow"/>
        <family val="2"/>
        <scheme val="minor"/>
      </rPr>
      <t>10 April   S</t>
    </r>
    <r>
      <rPr>
        <sz val="9"/>
        <color theme="1"/>
        <rFont val="Aptos Narrow"/>
        <family val="2"/>
        <scheme val="minor"/>
      </rPr>
      <t xml:space="preserve">tartted development
</t>
    </r>
    <r>
      <rPr>
        <b/>
        <sz val="9"/>
        <color rgb="FF00B050"/>
        <rFont val="Aptos Narrow"/>
        <family val="2"/>
        <scheme val="minor"/>
      </rPr>
      <t>03 June -  Planned dev compeltion</t>
    </r>
    <r>
      <rPr>
        <sz val="9"/>
        <color theme="1"/>
        <rFont val="Aptos Narrow"/>
        <family val="2"/>
        <scheme val="minor"/>
      </rPr>
      <t xml:space="preserve">
</t>
    </r>
    <r>
      <rPr>
        <b/>
        <sz val="9"/>
        <color theme="1"/>
        <rFont val="Aptos Narrow"/>
        <family val="2"/>
        <scheme val="minor"/>
      </rPr>
      <t>13 June</t>
    </r>
    <r>
      <rPr>
        <sz val="9"/>
        <color theme="1"/>
        <rFont val="Aptos Narrow"/>
        <family val="2"/>
        <scheme val="minor"/>
      </rPr>
      <t xml:space="preserve"> - UAT Planned completion
</t>
    </r>
    <r>
      <rPr>
        <b/>
        <sz val="9"/>
        <color theme="1"/>
        <rFont val="Aptos Narrow"/>
        <family val="2"/>
        <scheme val="minor"/>
      </rPr>
      <t>16 May -</t>
    </r>
    <r>
      <rPr>
        <sz val="9"/>
        <color theme="1"/>
        <rFont val="Aptos Narrow"/>
        <family val="2"/>
        <scheme val="minor"/>
      </rPr>
      <t xml:space="preserve"> SDD Approved 
</t>
    </r>
    <r>
      <rPr>
        <b/>
        <sz val="9"/>
        <color theme="1"/>
        <rFont val="Aptos Narrow"/>
        <family val="2"/>
        <scheme val="minor"/>
      </rPr>
      <t>09 June</t>
    </r>
    <r>
      <rPr>
        <sz val="9"/>
        <color theme="1"/>
        <rFont val="Aptos Narrow"/>
        <family val="2"/>
        <scheme val="minor"/>
      </rPr>
      <t xml:space="preserve"> - Demo planned &amp; Completed
</t>
    </r>
    <r>
      <rPr>
        <b/>
        <sz val="9"/>
        <color theme="1"/>
        <rFont val="Aptos Narrow"/>
        <family val="2"/>
        <scheme val="minor"/>
      </rPr>
      <t xml:space="preserve">16 June </t>
    </r>
    <r>
      <rPr>
        <sz val="9"/>
        <color theme="1"/>
        <rFont val="Aptos Narrow"/>
        <family val="2"/>
        <scheme val="minor"/>
      </rPr>
      <t xml:space="preserve">- UAT progressing well
</t>
    </r>
    <r>
      <rPr>
        <b/>
        <sz val="9"/>
        <color theme="1"/>
        <rFont val="Aptos Narrow"/>
        <family val="2"/>
        <scheme val="minor"/>
      </rPr>
      <t>23 June</t>
    </r>
    <r>
      <rPr>
        <sz val="9"/>
        <color theme="1"/>
        <rFont val="Aptos Narrow"/>
        <family val="2"/>
        <scheme val="minor"/>
      </rPr>
      <t xml:space="preserve"> - UAT completed , 2 SME approved, 1 SME awaited , Code Run book and MTP documentation in progress, PROD environment setup in Progress
</t>
    </r>
    <r>
      <rPr>
        <b/>
        <sz val="9"/>
        <color theme="1"/>
        <rFont val="Aptos Narrow"/>
        <family val="2"/>
        <scheme val="minor"/>
      </rPr>
      <t>07 July</t>
    </r>
    <r>
      <rPr>
        <sz val="9"/>
        <color theme="1"/>
        <rFont val="Aptos Narrow"/>
        <family val="2"/>
        <scheme val="minor"/>
      </rPr>
      <t xml:space="preserve"> - UAT Cmpleted and Deployed in Prod
</t>
    </r>
    <r>
      <rPr>
        <b/>
        <sz val="9"/>
        <color theme="1"/>
        <rFont val="Aptos Narrow"/>
        <family val="2"/>
        <scheme val="minor"/>
      </rPr>
      <t>28 July</t>
    </r>
    <r>
      <rPr>
        <sz val="9"/>
        <color theme="1"/>
        <rFont val="Aptos Narrow"/>
        <family val="2"/>
        <scheme val="minor"/>
      </rPr>
      <t xml:space="preserve"> - PROD run from today 
04 Aug - Chnages being incorporated by AMal and Sathish
</t>
    </r>
    <r>
      <rPr>
        <b/>
        <sz val="9"/>
        <color theme="1"/>
        <rFont val="Aptos Narrow"/>
        <family val="2"/>
        <scheme val="minor"/>
      </rPr>
      <t xml:space="preserve">25 Aug </t>
    </r>
    <r>
      <rPr>
        <sz val="9"/>
        <color theme="1"/>
        <rFont val="Aptos Narrow"/>
        <family val="2"/>
        <scheme val="minor"/>
      </rPr>
      <t>- CHanges implemenetd and deployed in Prod, 2 -3 BOT runs to be done to monitor the Performance  and then seek SIgn off
01 Sep - 2 more of days of HC on changes implemented
22 Sep -Handover planned to support today</t>
    </r>
  </si>
  <si>
    <r>
      <t xml:space="preserve"> SDD completion delayed due to customer training, as they are new to RPA
</t>
    </r>
    <r>
      <rPr>
        <b/>
        <sz val="9"/>
        <color theme="1"/>
        <rFont val="Aptos Narrow"/>
        <family val="2"/>
        <scheme val="minor"/>
      </rPr>
      <t xml:space="preserve">22 May </t>
    </r>
    <r>
      <rPr>
        <sz val="9"/>
        <color theme="1"/>
        <rFont val="Aptos Narrow"/>
        <family val="2"/>
        <scheme val="minor"/>
      </rPr>
      <t xml:space="preserve">- SDD shared for approval, review completed, ETA 30 May
</t>
    </r>
    <r>
      <rPr>
        <b/>
        <sz val="9"/>
        <color theme="1"/>
        <rFont val="Aptos Narrow"/>
        <family val="2"/>
        <scheme val="minor"/>
      </rPr>
      <t xml:space="preserve">29 May </t>
    </r>
    <r>
      <rPr>
        <sz val="9"/>
        <color theme="1"/>
        <rFont val="Aptos Narrow"/>
        <family val="2"/>
        <scheme val="minor"/>
      </rPr>
      <t xml:space="preserve">- SDD Approved 
</t>
    </r>
    <r>
      <rPr>
        <b/>
        <sz val="9"/>
        <color theme="1"/>
        <rFont val="Aptos Narrow"/>
        <family val="2"/>
        <scheme val="minor"/>
      </rPr>
      <t xml:space="preserve">09 June -  </t>
    </r>
    <r>
      <rPr>
        <sz val="9"/>
        <color theme="1"/>
        <rFont val="Aptos Narrow"/>
        <family val="2"/>
        <scheme val="minor"/>
      </rPr>
      <t xml:space="preserve">Planned alloaction to Satish after completin of Process 1
</t>
    </r>
    <r>
      <rPr>
        <b/>
        <sz val="9"/>
        <color theme="1"/>
        <rFont val="Aptos Narrow"/>
        <family val="2"/>
        <scheme val="minor"/>
      </rPr>
      <t>07 July</t>
    </r>
    <r>
      <rPr>
        <sz val="9"/>
        <color theme="1"/>
        <rFont val="Aptos Narrow"/>
        <family val="2"/>
        <scheme val="minor"/>
      </rPr>
      <t xml:space="preserve"> - Dev in Progress
</t>
    </r>
    <r>
      <rPr>
        <b/>
        <sz val="9"/>
        <color theme="1"/>
        <rFont val="Aptos Narrow"/>
        <family val="2"/>
        <scheme val="minor"/>
      </rPr>
      <t>14 July</t>
    </r>
    <r>
      <rPr>
        <sz val="9"/>
        <color theme="1"/>
        <rFont val="Aptos Narrow"/>
        <family val="2"/>
        <scheme val="minor"/>
      </rPr>
      <t xml:space="preserve"> - Dev in Progress,  awaiting test cases from customer
</t>
    </r>
    <r>
      <rPr>
        <b/>
        <sz val="9"/>
        <color theme="1"/>
        <rFont val="Aptos Narrow"/>
        <family val="2"/>
        <scheme val="minor"/>
      </rPr>
      <t>28 July</t>
    </r>
    <r>
      <rPr>
        <sz val="9"/>
        <color theme="1"/>
        <rFont val="Aptos Narrow"/>
        <family val="2"/>
        <scheme val="minor"/>
      </rPr>
      <t xml:space="preserve"> - Test data awaited
25 Aug - Unit testing completed, Test data awaited to start  UAT
01 Sep - resuming development of 5% from today, received test data
08 Sep - UAT In Progress
22 Sep - Hyper care in progress, enhancements in progress, planned closure by 29 Sep
</t>
    </r>
  </si>
  <si>
    <r>
      <t xml:space="preserve">Performer development completed
</t>
    </r>
    <r>
      <rPr>
        <b/>
        <sz val="9"/>
        <color theme="1"/>
        <rFont val="Aptos Narrow"/>
        <family val="2"/>
        <scheme val="minor"/>
      </rPr>
      <t>16 June</t>
    </r>
    <r>
      <rPr>
        <sz val="9"/>
        <color theme="1"/>
        <rFont val="Aptos Narrow"/>
        <family val="2"/>
        <scheme val="minor"/>
      </rPr>
      <t xml:space="preserve"> - Demo Planned on 19 June with the available data
</t>
    </r>
    <r>
      <rPr>
        <b/>
        <sz val="9"/>
        <color theme="1"/>
        <rFont val="Aptos Narrow"/>
        <family val="2"/>
        <scheme val="minor"/>
      </rPr>
      <t>19 June</t>
    </r>
    <r>
      <rPr>
        <sz val="9"/>
        <color theme="1"/>
        <rFont val="Aptos Narrow"/>
        <family val="2"/>
        <scheme val="minor"/>
      </rPr>
      <t xml:space="preserve"> - Demo completed, new requirements being incorporated asper PROD environment
</t>
    </r>
    <r>
      <rPr>
        <b/>
        <sz val="9"/>
        <color theme="1"/>
        <rFont val="Aptos Narrow"/>
        <family val="2"/>
        <scheme val="minor"/>
      </rPr>
      <t>07 July</t>
    </r>
    <r>
      <rPr>
        <sz val="9"/>
        <color theme="1"/>
        <rFont val="Aptos Narrow"/>
        <family val="2"/>
        <scheme val="minor"/>
      </rPr>
      <t xml:space="preserve"> - UAT to be completed  today
</t>
    </r>
    <r>
      <rPr>
        <b/>
        <sz val="9"/>
        <color theme="1"/>
        <rFont val="Aptos Narrow"/>
        <family val="2"/>
        <scheme val="minor"/>
      </rPr>
      <t>14 July</t>
    </r>
    <r>
      <rPr>
        <sz val="9"/>
        <color theme="1"/>
        <rFont val="Aptos Narrow"/>
        <family val="2"/>
        <scheme val="minor"/>
      </rPr>
      <t xml:space="preserve"> - UAT completed, smoke test today in Prod
</t>
    </r>
    <r>
      <rPr>
        <b/>
        <sz val="9"/>
        <color theme="1"/>
        <rFont val="Aptos Narrow"/>
        <family val="2"/>
        <scheme val="minor"/>
      </rPr>
      <t xml:space="preserve">28 July - </t>
    </r>
    <r>
      <rPr>
        <sz val="9"/>
        <color theme="1"/>
        <rFont val="Aptos Narrow"/>
        <family val="2"/>
        <scheme val="minor"/>
      </rPr>
      <t>Code Sanity n Progress, Amal to suport 
04 Aug - Hyper care in Progress, while changes are being implemented
25 Aug - Implementing chages
01 Sep - Changes implemented and awaitig HC sign off
08 Sep - Awaiting SIgn off
22 Sep - Changes being implemented by 25 Sep, 48 WD bot run  successful</t>
    </r>
  </si>
  <si>
    <r>
      <rPr>
        <b/>
        <sz val="9"/>
        <color theme="1"/>
        <rFont val="Aptos Narrow"/>
        <family val="2"/>
        <scheme val="minor"/>
      </rPr>
      <t>16 June</t>
    </r>
    <r>
      <rPr>
        <sz val="9"/>
        <color theme="1"/>
        <rFont val="Aptos Narrow"/>
        <family val="2"/>
        <scheme val="minor"/>
      </rPr>
      <t xml:space="preserve"> - Development  planned to start by 17 June 
</t>
    </r>
    <r>
      <rPr>
        <b/>
        <sz val="9"/>
        <color theme="1"/>
        <rFont val="Aptos Narrow"/>
        <family val="2"/>
        <scheme val="minor"/>
      </rPr>
      <t>23June</t>
    </r>
    <r>
      <rPr>
        <sz val="9"/>
        <color theme="1"/>
        <rFont val="Aptos Narrow"/>
        <family val="2"/>
        <scheme val="minor"/>
      </rPr>
      <t xml:space="preserve">  -ON Hold due to CR's in Access Edit patients Performer
</t>
    </r>
    <r>
      <rPr>
        <b/>
        <sz val="9"/>
        <color theme="1"/>
        <rFont val="Aptos Narrow"/>
        <family val="2"/>
        <scheme val="minor"/>
      </rPr>
      <t>07 July</t>
    </r>
    <r>
      <rPr>
        <sz val="9"/>
        <color theme="1"/>
        <rFont val="Aptos Narrow"/>
        <family val="2"/>
        <scheme val="minor"/>
      </rPr>
      <t xml:space="preserve">  - ON HOLD
</t>
    </r>
    <r>
      <rPr>
        <b/>
        <sz val="9"/>
        <color theme="1"/>
        <rFont val="Aptos Narrow"/>
        <family val="2"/>
        <scheme val="minor"/>
      </rPr>
      <t>04 Aug</t>
    </r>
    <r>
      <rPr>
        <sz val="9"/>
        <color theme="1"/>
        <rFont val="Aptos Narrow"/>
        <family val="2"/>
        <scheme val="minor"/>
      </rPr>
      <t xml:space="preserve"> - Development in Progress, ETA - 01 WK  Sep
25 Aug - Unit Testign in progress, blocked due to test data 
01 Sep - SIT in progress, UAT to staart from 03-Sep
08 Sep - Awaiting formal sign off in e-mail, verbal sign off received, Smoke tetsing started today
22 Sep - To be handed over to support by 24 Sep</t>
    </r>
  </si>
  <si>
    <r>
      <t xml:space="preserve">Performer development 
</t>
    </r>
    <r>
      <rPr>
        <b/>
        <sz val="9"/>
        <color theme="1"/>
        <rFont val="Aptos Narrow"/>
        <family val="2"/>
        <scheme val="minor"/>
      </rPr>
      <t>16 June</t>
    </r>
    <r>
      <rPr>
        <sz val="9"/>
        <color theme="1"/>
        <rFont val="Aptos Narrow"/>
        <family val="2"/>
        <scheme val="minor"/>
      </rPr>
      <t xml:space="preserve"> - Slight change on summary report is being incorporated, demo planned on 19 June
</t>
    </r>
    <r>
      <rPr>
        <b/>
        <sz val="9"/>
        <color theme="1"/>
        <rFont val="Aptos Narrow"/>
        <family val="2"/>
        <scheme val="minor"/>
      </rPr>
      <t>23 June</t>
    </r>
    <r>
      <rPr>
        <sz val="9"/>
        <color theme="1"/>
        <rFont val="Aptos Narrow"/>
        <family val="2"/>
        <scheme val="minor"/>
      </rPr>
      <t xml:space="preserve"> - Demo completed, UAT in progress
</t>
    </r>
    <r>
      <rPr>
        <b/>
        <sz val="9"/>
        <color theme="1"/>
        <rFont val="Aptos Narrow"/>
        <family val="2"/>
        <scheme val="minor"/>
      </rPr>
      <t>07 July</t>
    </r>
    <r>
      <rPr>
        <sz val="9"/>
        <color theme="1"/>
        <rFont val="Aptos Narrow"/>
        <family val="2"/>
        <scheme val="minor"/>
      </rPr>
      <t xml:space="preserve"> - UAT completed including the changes requested, Prod deployment planned 09 July
</t>
    </r>
    <r>
      <rPr>
        <b/>
        <sz val="9"/>
        <color theme="1"/>
        <rFont val="Aptos Narrow"/>
        <family val="2"/>
        <scheme val="minor"/>
      </rPr>
      <t>14 July</t>
    </r>
    <r>
      <rPr>
        <sz val="9"/>
        <color theme="1"/>
        <rFont val="Aptos Narrow"/>
        <family val="2"/>
        <scheme val="minor"/>
      </rPr>
      <t xml:space="preserve"> - UAT completed, smoke test today in Prod
</t>
    </r>
    <r>
      <rPr>
        <b/>
        <sz val="9"/>
        <color theme="1"/>
        <rFont val="Aptos Narrow"/>
        <family val="2"/>
        <scheme val="minor"/>
      </rPr>
      <t xml:space="preserve">28 July </t>
    </r>
    <r>
      <rPr>
        <sz val="9"/>
        <color theme="1"/>
        <rFont val="Aptos Narrow"/>
        <family val="2"/>
        <scheme val="minor"/>
      </rPr>
      <t>- Standardization in progress for Insights
04 Aug - Hyer care in Progress,  Insights customization in progress
25 Aug - Changes being implemenetd by Amaladeepan
01 Sep - Canges implemented and being tested internally 
08 Sep - Awaiting formal e-mail sign off, verbal sig off received
22 Sep  48 WD BOT run successfull, to be handed over to support by 25 Sep</t>
    </r>
  </si>
  <si>
    <t>25 Aug - Development in Progress
01 Sep - 15% development completed
08 Sep - 25% dev completed
22 Sep - 40% dev completed, ETA  Oct end</t>
  </si>
  <si>
    <r>
      <rPr>
        <b/>
        <sz val="11"/>
        <color theme="1"/>
        <rFont val="Aptos Narrow"/>
        <family val="2"/>
        <scheme val="minor"/>
      </rPr>
      <t>09 July</t>
    </r>
    <r>
      <rPr>
        <sz val="11"/>
        <color theme="1"/>
        <rFont val="Aptos Narrow"/>
        <family val="2"/>
        <scheme val="minor"/>
      </rPr>
      <t xml:space="preserve"> - Process discussion in Progress
</t>
    </r>
    <r>
      <rPr>
        <b/>
        <sz val="11"/>
        <color theme="1"/>
        <rFont val="Aptos Narrow"/>
        <family val="2"/>
        <scheme val="minor"/>
      </rPr>
      <t>23 Jul</t>
    </r>
    <r>
      <rPr>
        <sz val="11"/>
        <color theme="1"/>
        <rFont val="Aptos Narrow"/>
        <family val="2"/>
        <scheme val="minor"/>
      </rPr>
      <t xml:space="preserve">  - PDD awaited
23 Sep - Discovery in progress</t>
    </r>
  </si>
  <si>
    <r>
      <rPr>
        <b/>
        <sz val="11"/>
        <color theme="1"/>
        <rFont val="Aptos Narrow"/>
        <family val="2"/>
        <scheme val="minor"/>
      </rPr>
      <t xml:space="preserve">28 May - </t>
    </r>
    <r>
      <rPr>
        <sz val="11"/>
        <color theme="1"/>
        <rFont val="Aptos Narrow"/>
        <family val="2"/>
        <scheme val="minor"/>
      </rPr>
      <t xml:space="preserve">Progressing on slow pace due to SME - limited time availability
</t>
    </r>
    <r>
      <rPr>
        <b/>
        <sz val="11"/>
        <color theme="1"/>
        <rFont val="Aptos Narrow"/>
        <family val="2"/>
        <scheme val="minor"/>
      </rPr>
      <t xml:space="preserve">04 June </t>
    </r>
    <r>
      <rPr>
        <sz val="11"/>
        <color theme="1"/>
        <rFont val="Aptos Narrow"/>
        <family val="2"/>
        <scheme val="minor"/>
      </rPr>
      <t xml:space="preserve">- awaiting further inputs from Biz on testing &amp; validation
</t>
    </r>
    <r>
      <rPr>
        <b/>
        <sz val="11"/>
        <color theme="1"/>
        <rFont val="Aptos Narrow"/>
        <family val="2"/>
        <scheme val="minor"/>
      </rPr>
      <t xml:space="preserve">11 June - </t>
    </r>
    <r>
      <rPr>
        <sz val="11"/>
        <color theme="1"/>
        <rFont val="Aptos Narrow"/>
        <family val="2"/>
        <scheme val="minor"/>
      </rPr>
      <t xml:space="preserve">Awaiting Biz confirmation on UAT
</t>
    </r>
    <r>
      <rPr>
        <b/>
        <sz val="11"/>
        <color theme="1"/>
        <rFont val="Aptos Narrow"/>
        <family val="2"/>
        <scheme val="minor"/>
      </rPr>
      <t>23 July</t>
    </r>
    <r>
      <rPr>
        <sz val="11"/>
        <color theme="1"/>
        <rFont val="Aptos Narrow"/>
        <family val="2"/>
        <scheme val="minor"/>
      </rPr>
      <t xml:space="preserve"> -  Confirmation awaited on the changes 
</t>
    </r>
    <r>
      <rPr>
        <b/>
        <sz val="11"/>
        <color theme="1"/>
        <rFont val="Aptos Narrow"/>
        <family val="2"/>
        <scheme val="minor"/>
      </rPr>
      <t>23 Sep</t>
    </r>
    <r>
      <rPr>
        <sz val="11"/>
        <color theme="1"/>
        <rFont val="Aptos Narrow"/>
        <family val="2"/>
        <scheme val="minor"/>
      </rPr>
      <t xml:space="preserve"> - Expecting some process changes, yet to be confirmed by Biz</t>
    </r>
  </si>
  <si>
    <r>
      <t xml:space="preserve">Tech assessment on HOLD due to API access 
</t>
    </r>
    <r>
      <rPr>
        <b/>
        <sz val="11"/>
        <color theme="1"/>
        <rFont val="Aptos Narrow"/>
        <family val="2"/>
        <scheme val="minor"/>
      </rPr>
      <t>23 Jul</t>
    </r>
    <r>
      <rPr>
        <sz val="11"/>
        <color theme="1"/>
        <rFont val="Aptos Narrow"/>
        <family val="2"/>
        <scheme val="minor"/>
      </rPr>
      <t xml:space="preserve"> -PDD sign off awaited
23 Sep - On Backlog now</t>
    </r>
  </si>
  <si>
    <t xml:space="preserve">Akhila </t>
  </si>
  <si>
    <r>
      <rPr>
        <b/>
        <sz val="11"/>
        <color theme="1"/>
        <rFont val="Aptos Narrow"/>
        <family val="2"/>
        <scheme val="minor"/>
      </rPr>
      <t>23 July</t>
    </r>
    <r>
      <rPr>
        <sz val="11"/>
        <color theme="1"/>
        <rFont val="Aptos Narrow"/>
        <family val="2"/>
        <scheme val="minor"/>
      </rPr>
      <t xml:space="preserve"> - Development in Progress
23 Sep - In Hyper care</t>
    </r>
  </si>
  <si>
    <t>Omni Supervrisor Scraper BOT</t>
  </si>
  <si>
    <t>23 Sep - Development completed , to be used for Agentic</t>
  </si>
  <si>
    <r>
      <t xml:space="preserve">Development in Progress
</t>
    </r>
    <r>
      <rPr>
        <b/>
        <sz val="9"/>
        <color theme="1"/>
        <rFont val="Arial"/>
        <family val="2"/>
      </rPr>
      <t xml:space="preserve">09 July </t>
    </r>
    <r>
      <rPr>
        <sz val="9"/>
        <color theme="1"/>
        <rFont val="Arial"/>
        <family val="2"/>
      </rPr>
      <t>- Access was rewoked 07 &amp; 08, enabled on 09 July
16 July - Deployed in Prod, biz demo tomorrow
13 Aug - Hyper care Sign off awaited
20 Aug - Handed over to Apple Support Team
03 Sep - Proposed to move from AWS to SIM cloud - server access awaited
24 Sep - Server access still not enabled, expecting resolution by weekending 26/09</t>
    </r>
  </si>
  <si>
    <t>13 Aug - SDD in Progress
20 Aug - Development in Progress
03 Sep - Dev in progress, 
17 Sep - All blockers resolved and dev in prgress
24 Sep - development in progress</t>
  </si>
  <si>
    <t>meeraj to enable access</t>
  </si>
  <si>
    <r>
      <rPr>
        <b/>
        <sz val="9"/>
        <color theme="1"/>
        <rFont val="Arial"/>
        <family val="2"/>
      </rPr>
      <t xml:space="preserve">09 July </t>
    </r>
    <r>
      <rPr>
        <sz val="9"/>
        <color theme="1"/>
        <rFont val="Arial"/>
        <family val="2"/>
      </rPr>
      <t xml:space="preserve">- Apple Macbook in Transit
</t>
    </r>
    <r>
      <rPr>
        <b/>
        <sz val="9"/>
        <color theme="1"/>
        <rFont val="Arial"/>
        <family val="2"/>
      </rPr>
      <t xml:space="preserve">16 July </t>
    </r>
    <r>
      <rPr>
        <sz val="9"/>
        <color theme="1"/>
        <rFont val="Arial"/>
        <family val="2"/>
      </rPr>
      <t xml:space="preserve">- Awaiting apple connect approval for account activation
</t>
    </r>
    <r>
      <rPr>
        <b/>
        <sz val="9"/>
        <color theme="1"/>
        <rFont val="Arial"/>
        <family val="2"/>
      </rPr>
      <t xml:space="preserve">23 July </t>
    </r>
    <r>
      <rPr>
        <sz val="9"/>
        <color theme="1"/>
        <rFont val="Arial"/>
        <family val="2"/>
      </rPr>
      <t>- New Apple laptops is needed for Process execution, WIP
13 Aug - Scope review in Progress, SDD in Progress, Dev planned to start 20 Aug
20 Aug - Process changes are being incorporated in SDD
03 Sep - Dev in Progress, SAP test data awaited from Biz
17 Sep - On HOLD due to SAP data access
24 Sep - Development in Progress, however data access in SAP is to be enabled</t>
    </r>
  </si>
  <si>
    <t>17 Sep - Development in progress, while SDD approval is waited
24 Sep - Development in Progress</t>
  </si>
  <si>
    <t>13 Aug - Document review in Progress, 
20 Aug - DB and Sap access enabled, however no test data 
03 Sep - Access enabled dev planned to satrt by Friday the 05 Sep
17 Sep - Dev in progress while Solution approach is to be agreed with Business
24 Sep - Dev in progress</t>
  </si>
  <si>
    <r>
      <rPr>
        <b/>
        <sz val="9"/>
        <color theme="1"/>
        <rFont val="Arial"/>
        <family val="2"/>
      </rPr>
      <t xml:space="preserve">09 July </t>
    </r>
    <r>
      <rPr>
        <sz val="9"/>
        <color theme="1"/>
        <rFont val="Arial"/>
        <family val="2"/>
      </rPr>
      <t xml:space="preserve">- Apple onboarding in progress
</t>
    </r>
    <r>
      <rPr>
        <b/>
        <sz val="9"/>
        <color theme="1"/>
        <rFont val="Arial"/>
        <family val="2"/>
      </rPr>
      <t>16 July</t>
    </r>
    <r>
      <rPr>
        <sz val="9"/>
        <color theme="1"/>
        <rFont val="Arial"/>
        <family val="2"/>
      </rPr>
      <t xml:space="preserve">  - Working on re-usable components
13 Aug - Development to completed today, demo planned on Tuesday the 19 Aug
20 Aug - Test data awaited for the demo, expecting EOD today
03 Sep - Internal demo planned today, UAT to be started
17 Sep - Demo completed - UAT likely to satrt wk starting 22 Sep upon Biz availability
24 Sepm- UAT to start today</t>
    </r>
  </si>
  <si>
    <r>
      <rPr>
        <b/>
        <sz val="9"/>
        <color theme="1"/>
        <rFont val="Arial"/>
        <family val="2"/>
      </rPr>
      <t>16 July</t>
    </r>
    <r>
      <rPr>
        <sz val="9"/>
        <color theme="1"/>
        <rFont val="Arial"/>
        <family val="2"/>
      </rPr>
      <t xml:space="preserve"> - - Dev environment setup in Progress
13 Aug - SDD review awaited
20 Aug - Verbal sign off received, awaiting formal sign off, development in progress
03 Sep - Development completed, post internal demo, awaiting confirmation to start  UAT on this attended automation 
17 Sep - Hyper care in Progress, KT session planned with Support team today
24 Sep - KT completed to support team signof awaited from SUpport team</t>
    </r>
  </si>
  <si>
    <t>13 Aug - SDD in progress
20 Aug - awating process clarifications from BA
03 Sep - SDD completed, awaiting approval, Dev to be started this week
17 Sep - Development yet to start upon SDD approval
24 Sep - Dev in progress</t>
  </si>
  <si>
    <t>Potential extension of dev completion due to complexity</t>
  </si>
  <si>
    <t>Communicated to Customer</t>
  </si>
  <si>
    <t>13 Aug - App development in progress - Blocked as on today
20 Aug - App changes being incorporated, however Nimbus application access is not enabled 
03 Sep - developmnet completed, internal demo planned tomorrow 04 Sep and move on to UAT by 05 Sep
17 Sep - UAT in progress
24 Sep - UAT in Progress</t>
  </si>
  <si>
    <r>
      <rPr>
        <b/>
        <sz val="9"/>
        <color theme="1"/>
        <rFont val="Aptos Narrow"/>
        <family val="2"/>
        <scheme val="minor"/>
      </rPr>
      <t xml:space="preserve">07 July </t>
    </r>
    <r>
      <rPr>
        <sz val="9"/>
        <color theme="1"/>
        <rFont val="Aptos Narrow"/>
        <family val="2"/>
        <scheme val="minor"/>
      </rPr>
      <t xml:space="preserve">- PDD Approval awaited, SDD to be created post  PDD Approval, Development In Progress
</t>
    </r>
    <r>
      <rPr>
        <b/>
        <sz val="9"/>
        <color theme="1"/>
        <rFont val="Aptos Narrow"/>
        <family val="2"/>
        <scheme val="minor"/>
      </rPr>
      <t>21 July -</t>
    </r>
    <r>
      <rPr>
        <sz val="9"/>
        <color theme="1"/>
        <rFont val="Aptos Narrow"/>
        <family val="2"/>
        <scheme val="minor"/>
      </rPr>
      <t xml:space="preserve"> Dev KT to Akash in Progress -ETA  - 23 July
</t>
    </r>
    <r>
      <rPr>
        <b/>
        <sz val="9"/>
        <color theme="1"/>
        <rFont val="Aptos Narrow"/>
        <family val="2"/>
        <scheme val="minor"/>
      </rPr>
      <t>28 July</t>
    </r>
    <r>
      <rPr>
        <sz val="9"/>
        <color theme="1"/>
        <rFont val="Aptos Narrow"/>
        <family val="2"/>
        <scheme val="minor"/>
      </rPr>
      <t xml:space="preserve"> - SDD complete, to be reviewed with Sagar of Comcast
04 Aug - Development in Progress, 
25 Aug - SIT in progress,  UAT to start  from 28 Aug 
01 Sep - Dev completed, UAT likely to start by 02 Sep along with KT to be given to Comcast Support
08 Sep - KT and Code walkthourgh in progress prior to satrt of UAT
22 Sep - Deployed in Prod, ETA 25 Sep
29 Sep - New changes to be tested by Support team and complete handver by this weekend 10/03</t>
    </r>
  </si>
  <si>
    <t>Reconcile daily accident enhancement V 2.0</t>
  </si>
  <si>
    <t>Exporting from EP</t>
  </si>
  <si>
    <t>Consolidated Reporting</t>
  </si>
  <si>
    <t>Ticket Mate</t>
  </si>
  <si>
    <t>Zynga Main Op Bank Reconciliation'</t>
  </si>
  <si>
    <r>
      <rPr>
        <b/>
        <sz val="9"/>
        <color theme="1"/>
        <rFont val="Aptos Narrow"/>
        <family val="2"/>
        <scheme val="minor"/>
      </rPr>
      <t>03 July -</t>
    </r>
    <r>
      <rPr>
        <sz val="9"/>
        <color theme="1"/>
        <rFont val="Aptos Narrow"/>
        <family val="2"/>
        <scheme val="minor"/>
      </rPr>
      <t xml:space="preserve"> Development starting today
</t>
    </r>
    <r>
      <rPr>
        <b/>
        <sz val="9"/>
        <color theme="1"/>
        <rFont val="Aptos Narrow"/>
        <family val="2"/>
        <scheme val="minor"/>
      </rPr>
      <t xml:space="preserve">10 July </t>
    </r>
    <r>
      <rPr>
        <sz val="9"/>
        <color theme="1"/>
        <rFont val="Aptos Narrow"/>
        <family val="2"/>
        <scheme val="minor"/>
      </rPr>
      <t xml:space="preserve">- Development in Progress
</t>
    </r>
    <r>
      <rPr>
        <b/>
        <sz val="9"/>
        <color theme="1"/>
        <rFont val="Aptos Narrow"/>
        <family val="2"/>
        <scheme val="minor"/>
      </rPr>
      <t>17 July</t>
    </r>
    <r>
      <rPr>
        <sz val="9"/>
        <color theme="1"/>
        <rFont val="Aptos Narrow"/>
        <family val="2"/>
        <scheme val="minor"/>
      </rPr>
      <t xml:space="preserve"> - Dev in progress
</t>
    </r>
    <r>
      <rPr>
        <b/>
        <sz val="9"/>
        <color theme="1"/>
        <rFont val="Aptos Narrow"/>
        <family val="2"/>
        <scheme val="minor"/>
      </rPr>
      <t>24 July</t>
    </r>
    <r>
      <rPr>
        <sz val="9"/>
        <color theme="1"/>
        <rFont val="Aptos Narrow"/>
        <family val="2"/>
        <scheme val="minor"/>
      </rPr>
      <t xml:space="preserve"> - All good dev in progress
07 Aug - Code review today
21 Aug - UAT in Progress , changes being implemented
28 Aug - implemented changes and waiting test data to continue testing the changes
UAT planned to compete by 05 Sep.
04 Sep - UAT completed awaiting Biz confrmation
11 Sep - Deployed in Prod on 10 Sep, Hyper care in Progress
18 Sep - Changes implemented, Biz to review and shared feedback
09 Oct - Changes implemented being tested biy Biz
16 Oct - SIgned off by Biz, Prod deployment planned on 21 Oct </t>
    </r>
  </si>
  <si>
    <t>Vamsi</t>
  </si>
  <si>
    <t>07 Aug - ON Hold due to intervention of Human in the Loop
14 Aug - WIP for Human in the Loop
21 Aug - Human in the Loop to be completed tomorrow and complete code review
28 Aug - Human in Loop  Deployed in UAT 
04 Sep - Biz meetig schedule awaited to start  UAT
11 Sep - Demo scheduled today
18 Sep - Changes implemented and awaiting customer feedback
09 Sep - Planned Prod deployment today,  first run on 03 Nov, as its monthly Process
06 NOv - BOT deployed in Prod and rning succesfully, 
13 Nov - Prod run planned in 1st Dec</t>
  </si>
  <si>
    <t>04 Sep - Dev planned to Complete by 08 Sep
11 Sep - Dev completed, Code review with LUcas today
18 Sep - UAT signed off, to be deployed in Prod basis Lucas availability 
09 Oct - Deployed in Prod, Alvaria portal access is yet to be enabled, Sdd being updated on the approach changes required by customer
16 Oct - Smoke testing  in Prod is in progress, customer feedback on change is worked out
06 Nov - Vut running successfuly in Prod, awaiting biz feedback
13 Nov - Hyper care completed, signed off by Bz</t>
  </si>
  <si>
    <t>DC Bill of Lading</t>
  </si>
  <si>
    <t>Dharunya  / Mina</t>
  </si>
  <si>
    <t>Stop loss development - Phase II</t>
  </si>
  <si>
    <t>Stop loss development - POC</t>
  </si>
  <si>
    <t>11/21 - POC completed</t>
  </si>
  <si>
    <t>Anshuman</t>
  </si>
  <si>
    <t>Comms Mining Matrix reporting</t>
  </si>
  <si>
    <t>Insigts reporting automation</t>
  </si>
  <si>
    <t>03 Sep - Code enhancements in progress,  UAT to resume by next week once DB access is enabled
11 Sep - UAT is blocked due to DB access for 1 module, awating  Biz inputs
18 Sep - new environment being setup with new approach
09 Oct - Customer working on settip up automated DB querry run
16 Oct - Changes implemented to be deployed post automated DB Querry run by Customer
06 Nov - Module tetsing to be completed in UAT
13 Nov - UAT demo completed, change implemented and sign off awaited
11/27 - Deployed in Prod</t>
  </si>
  <si>
    <t>11/27 - start of UAT could potentially be delayed due to un availability of test data</t>
  </si>
  <si>
    <t>Shivanagouda Naik</t>
  </si>
  <si>
    <t>United rentals</t>
  </si>
  <si>
    <t xml:space="preserve">Offer letter worksatream </t>
  </si>
  <si>
    <t>12/01 - Discovery  in Progress</t>
  </si>
  <si>
    <t>Ariba Facilitator</t>
  </si>
  <si>
    <t>Shlok</t>
  </si>
  <si>
    <t>11/16 - Deployed in Prod</t>
  </si>
  <si>
    <t>Sony Asia reconciliation</t>
  </si>
  <si>
    <t>Sony Japan</t>
  </si>
  <si>
    <t>Hitesh Kumar</t>
  </si>
  <si>
    <t>12/08 - of the 5 Application access, only 1 isyet to be enabled, POC planned to satrt from today</t>
  </si>
  <si>
    <t>12/01 - Discovery in progress, Dev start   delayed due to US  holidays</t>
  </si>
  <si>
    <t>Sompo Remittance Advice</t>
  </si>
  <si>
    <r>
      <rPr>
        <b/>
        <sz val="9"/>
        <color theme="1"/>
        <rFont val="Aptos Narrow"/>
        <family val="2"/>
        <scheme val="minor"/>
      </rPr>
      <t>14 Aug -</t>
    </r>
    <r>
      <rPr>
        <sz val="9"/>
        <color theme="1"/>
        <rFont val="Aptos Narrow"/>
        <family val="2"/>
        <scheme val="minor"/>
      </rPr>
      <t xml:space="preserve"> SDD Subitted awating approval
21 Aug - SDD approval received
13 Nov  - Dev in progress
11/27 - UAT application access awaited
12/11- UAT in progress, planned completion by 12/15</t>
    </r>
  </si>
  <si>
    <t>07 Aug  - Process understanding in progress
21 Aug - Dev to start  after completion of ECS Phase II
28 Aug - Development in Progress
04 Sep - On HOLD, awaiting biz confirmation n next steps
11 Sep - Development to continue
18 Sep - Dev Paused due to ACH PII changes prioritized by Biz
Also Scpe changes being incorporated  in SDD
11/27- Dev in Progress
12/11 - Dev completed SIT delayed due to test data avalability, eta 12/12</t>
  </si>
  <si>
    <r>
      <rPr>
        <b/>
        <sz val="9"/>
        <color theme="1"/>
        <rFont val="Aptos Narrow"/>
        <family val="2"/>
        <scheme val="minor"/>
      </rPr>
      <t xml:space="preserve">24 July </t>
    </r>
    <r>
      <rPr>
        <sz val="9"/>
        <color theme="1"/>
        <rFont val="Aptos Narrow"/>
        <family val="2"/>
        <scheme val="minor"/>
      </rPr>
      <t xml:space="preserve"> - PDD, SDD review in progress, Code is partially developed by Lucas, on 31/07 code Vs SDD to be reviewed with SA and take a decission on next steps for implementation
</t>
    </r>
    <r>
      <rPr>
        <b/>
        <sz val="9"/>
        <color theme="1"/>
        <rFont val="Aptos Narrow"/>
        <family val="2"/>
        <scheme val="minor"/>
      </rPr>
      <t>31 July</t>
    </r>
    <r>
      <rPr>
        <sz val="9"/>
        <color theme="1"/>
        <rFont val="Aptos Narrow"/>
        <family val="2"/>
        <scheme val="minor"/>
      </rPr>
      <t xml:space="preserve"> - PDD and SDD is not upto mark, needs updation - 
14 Aug - ON HOLD
09 Oct - PDD, SDD approved, 
13 NOv - Dev yet to be started
11/27 - Doc review in progress,  dev planned to start by 01/12
12/11 - planned to satrt dev by 12/16</t>
    </r>
  </si>
  <si>
    <t xml:space="preserve">14 Aug - PDD in Progress - DU Process
04 Sep - Process overhaul in discussion within Biz, post that decision on automation is awaited
06 Nov - DU architecture to be presented to customer for implementation - Yuri [TAM] and iri are working
13 Nov -ON HOLD
11/27 - SDD creation in progress, ETA - 11/28
12/11 - SDD completed, awaiting ARB approval </t>
  </si>
  <si>
    <t>Rmarketing Proceeds</t>
  </si>
  <si>
    <t>Sachdeep Singh</t>
  </si>
  <si>
    <t>Invoice Processing (Voucher Creation)</t>
  </si>
  <si>
    <t>12/11 - DU training in progress, additional test data requested from Biz</t>
  </si>
  <si>
    <t>12/15 - Still discovery in progress, PDD review today, PDD approval expected by 12/17</t>
  </si>
  <si>
    <t>12/15-  3 applicatons access yet to be enabled</t>
  </si>
  <si>
    <r>
      <rPr>
        <b/>
        <sz val="9"/>
        <color theme="1"/>
        <rFont val="Aptos Narrow"/>
        <family val="2"/>
        <scheme val="minor"/>
      </rPr>
      <t>09 June</t>
    </r>
    <r>
      <rPr>
        <sz val="9"/>
        <color theme="1"/>
        <rFont val="Aptos Narrow"/>
        <family val="2"/>
        <scheme val="minor"/>
      </rPr>
      <t xml:space="preserve"> - Discovery scheduled today
</t>
    </r>
    <r>
      <rPr>
        <b/>
        <sz val="9"/>
        <color theme="1"/>
        <rFont val="Aptos Narrow"/>
        <family val="2"/>
        <scheme val="minor"/>
      </rPr>
      <t>16 June</t>
    </r>
    <r>
      <rPr>
        <sz val="9"/>
        <color theme="1"/>
        <rFont val="Aptos Narrow"/>
        <family val="2"/>
        <scheme val="minor"/>
      </rPr>
      <t xml:space="preserve"> - Feasibility for automation confirmed with SME, awaiting Biz confirmation on the next steps
</t>
    </r>
    <r>
      <rPr>
        <b/>
        <sz val="9"/>
        <color theme="1"/>
        <rFont val="Aptos Narrow"/>
        <family val="2"/>
        <scheme val="minor"/>
      </rPr>
      <t xml:space="preserve">23 June </t>
    </r>
    <r>
      <rPr>
        <sz val="9"/>
        <color theme="1"/>
        <rFont val="Aptos Narrow"/>
        <family val="2"/>
        <scheme val="minor"/>
      </rPr>
      <t xml:space="preserve">- Cataline - BA from US PS is creating the PDD
</t>
    </r>
    <r>
      <rPr>
        <b/>
        <sz val="9"/>
        <color theme="1"/>
        <rFont val="Aptos Narrow"/>
        <family val="2"/>
        <scheme val="minor"/>
      </rPr>
      <t>07 July</t>
    </r>
    <r>
      <rPr>
        <sz val="9"/>
        <color theme="1"/>
        <rFont val="Aptos Narrow"/>
        <family val="2"/>
        <scheme val="minor"/>
      </rPr>
      <t xml:space="preserve"> - PDD approval waited from Biz
04 Aug - Still discovery in Progress
25 Aug - NEW BA to take up PDD from US
08 Sep - Discovery n progress
29 Sep - planned to complete PDD by 10/03
11/03 - Awaiting PDD,  SDD sign off, Dev planned to start this  week 
12/01 - POC in progress, while PDD  approval awaited
12/15 - SDD approved, deve started today</t>
    </r>
  </si>
  <si>
    <t>12/15 - Discovery in progress</t>
  </si>
  <si>
    <t>Severance workstreams Process</t>
  </si>
  <si>
    <t>2 more UC's inpile yet to be decided, basis the proces analysis</t>
  </si>
  <si>
    <t>EB Sales Comms Mining Use Case - Stream 1</t>
  </si>
  <si>
    <t>Sony Europe</t>
  </si>
  <si>
    <t>12/18 - Enhancements being incorporated</t>
  </si>
  <si>
    <t>12/18 - all access enabled except only , that is awaited by 12/19. DU model training in progress, test data received this week</t>
  </si>
  <si>
    <t>12/08 - DU development nearig copletion, model training being worked out
12/29 - completed the development and and provided a Demo .awaiting customer feedback</t>
  </si>
  <si>
    <t>12/29 - Assuming Sales to provide temporary license</t>
  </si>
  <si>
    <t>12/29 - As of now they do not have a VM setup or an UAT license for bot to be deployed, they are in contact with sales team</t>
  </si>
  <si>
    <t>POC Completed</t>
  </si>
  <si>
    <t>CAB Agenda 2.0</t>
  </si>
  <si>
    <t>JDE To FCCS / JDE Cube Tie Out</t>
  </si>
  <si>
    <t>Sony America</t>
  </si>
  <si>
    <t>Fidelity netshare reconciliation</t>
  </si>
  <si>
    <t>Apple statement reconciliation</t>
  </si>
  <si>
    <t>CAPSW tax entries</t>
  </si>
  <si>
    <t>Export from EP</t>
  </si>
  <si>
    <t>Core RPA+Test Suite</t>
  </si>
  <si>
    <t>12/16 - UAT in progtess, API based enhancements being incorporated
01/13 - Deployed in prod
02/06 - Handed over to Voya IT Support</t>
  </si>
  <si>
    <t>02/17 - Feedback awaited from SME</t>
  </si>
  <si>
    <t>Live in Prod</t>
  </si>
  <si>
    <t>02/17 - Deployed in Progress, awaiting biz confirmation today</t>
  </si>
  <si>
    <t>02/19 - 90% dev completed, planned UAT by 02/23</t>
  </si>
  <si>
    <t>Remaining Hrs  as on 19-02-2026</t>
  </si>
  <si>
    <t>02/19 - Dev in progress</t>
  </si>
  <si>
    <t>FCCS Loads</t>
  </si>
  <si>
    <t>02/19 - Techical feasibility in progress</t>
  </si>
  <si>
    <t>02/19 - POC presented to Finance, awaiting biz decission on implementing  with UiPath Apps, Core RPA</t>
  </si>
  <si>
    <t>Inter Company Amount Trasfers</t>
  </si>
  <si>
    <t>UiPath Apps</t>
  </si>
  <si>
    <t>02/19 - Building UiPath Apps for creating form to trigger process</t>
  </si>
  <si>
    <t>31 Mach 2026</t>
  </si>
  <si>
    <t>JD Edwards to snowflake tieout</t>
  </si>
  <si>
    <t>02/24 - UiPath suggested to do with 2 brokers, however customer has availabile info only on 1 Broker</t>
  </si>
  <si>
    <t>Usama Mirakar</t>
  </si>
  <si>
    <t xml:space="preserve">02/25 - Frontsheet word doc generation for all layers is completed, testing planned wth PO today, cosmetic changes likely to go on for next few weeks basis PO feedback.
Dev and Deployment in progress, on 03/18 - pre prod testing planned, </t>
  </si>
  <si>
    <t>PAS002_Docuent Classification and Splitting</t>
  </si>
  <si>
    <t>02/25- Development completed per the tasks assigned on DU &amp; IXP</t>
  </si>
  <si>
    <t>02/26- Dev in progress</t>
  </si>
  <si>
    <t xml:space="preserve">02/26- Dev to satrt post complation of Fidelity </t>
  </si>
  <si>
    <t>03/03 - Deployed in Prod</t>
  </si>
  <si>
    <t>DC Bill of Lading - Vendor name updation</t>
  </si>
  <si>
    <t>03/03 - PDD in Progress</t>
  </si>
  <si>
    <t xml:space="preserve">03/06 - discussion scheduled tomorrow on the process design </t>
  </si>
  <si>
    <t xml:space="preserve">03/03  -  to be taken up post DC Bill of Lading completion - Status to be udpated  post discusssion with PM </t>
  </si>
  <si>
    <t>03/03 - Dev in progress, Despatcher completed Performer in progress</t>
  </si>
  <si>
    <t>03/03 - PDD in progress</t>
  </si>
  <si>
    <t>03/03 - to be re-piroritized by Biz</t>
  </si>
  <si>
    <t>03/03 - to be discussed with SA dn Biz on the design</t>
  </si>
  <si>
    <t>Email Parsing creation Phase II</t>
  </si>
  <si>
    <t>03/03 - requirement gathering completed</t>
  </si>
  <si>
    <t>Product reviews safety concerns</t>
  </si>
  <si>
    <t>Freight claim processing</t>
  </si>
  <si>
    <t>03/03 - test creation in progress</t>
  </si>
  <si>
    <t>Cash Variance</t>
  </si>
  <si>
    <t>03/03 - deployed in Prod, potential enhancement anticipated</t>
  </si>
  <si>
    <t>03/03 - dev completed, UAT likely to start by 03/06</t>
  </si>
  <si>
    <t>Accidet Claim - Agentic</t>
  </si>
  <si>
    <t>03/03 - UI automation developed by US developer is now being converted to API, integrated with Mastero, 50% of code is now changed per new architecture.</t>
  </si>
  <si>
    <t>12/16 - requirement for 5 level completed, ETA 01/22/2026
01/13 - dev planned to complete by -1/16
02/10 - Deployed in Prod, hyper care signed off, however biz changes are being developed
02/17 - Changes being incorporated, planed prod deployment nex week - 02/23
03/03 - Live in Prod, biz approved hyper care, 1 specific scenario alone to be tested, that couldn't be covered due to very low volume</t>
  </si>
  <si>
    <t>12/16 - 2 brokers demo given to customer and received positive feedback, 
3rd broker dev in progress, remaining 6 brokers requirement yet to be received
01/13 - 3 brokers dev completed, UAT planned on 01/21, deayed due to test cases
01/13 - Its Planned to take 4 weeks per broker 
02/10-  Potential changes expected, decission in incorporating them is awaited from PM
02/17 -Dev in progress for the USI Broker
02/24 - UAT planned to start by 02/26
03/03 - UAT in progress, code review completed by Voya dev team
03/03 - Dev in progress for 3 additional
 brokers [ USI, Cottingham Butler, 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</si>
</sst>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409]* #,##0.00_ ;_-[$$-409]* \-#,##0.00\ ;_-[$$-409]* &quot;-&quot;??_ ;_-@_ "/>
    <numFmt numFmtId="165" formatCode="[$-F800]dddd\,\ mmmm\ dd\,\ yyyy"/>
  </numFmts>
  <fonts count="28" x14ac:knownFonts="1">
    <font>
      <sz val="11"/>
      <color theme="1"/>
      <name val="Aptos Narrow"/>
      <family val="2"/>
      <scheme val="minor"/>
    </font>
    <font>
      <b/>
      <sz val="11"/>
      <color theme="0"/>
      <name val="Aptos Narrow"/>
      <family val="2"/>
      <scheme val="minor"/>
    </font>
    <font>
      <sz val="9"/>
      <color theme="1"/>
      <name val="Aptos Narrow"/>
      <family val="2"/>
      <scheme val="minor"/>
    </font>
    <font>
      <b/>
      <sz val="10"/>
      <color theme="0"/>
      <name val="Aptos Narrow"/>
      <family val="2"/>
      <scheme val="minor"/>
    </font>
    <font>
      <sz val="10"/>
      <color theme="1"/>
      <name val="Aptos Narrow"/>
      <family val="2"/>
      <scheme val="minor"/>
    </font>
    <font>
      <sz val="10"/>
      <color rgb="FFFF0000"/>
      <name val="Aptos Narrow"/>
      <family val="2"/>
      <scheme val="minor"/>
    </font>
    <font>
      <sz val="10"/>
      <color rgb="FF000000"/>
      <name val="Aptos Narrow"/>
      <family val="2"/>
      <scheme val="minor"/>
    </font>
    <font>
      <b/>
      <sz val="10"/>
      <color rgb="FF000000"/>
      <name val="Aptos Narrow"/>
      <family val="2"/>
      <scheme val="minor"/>
    </font>
    <font>
      <sz val="8"/>
      <color rgb="FF1D1C1D"/>
      <name val="Arial"/>
      <family val="2"/>
    </font>
    <font>
      <sz val="11"/>
      <color theme="1"/>
      <name val="Aptos Narrow"/>
      <family val="2"/>
      <scheme val="minor"/>
    </font>
    <font>
      <sz val="10"/>
      <name val="Aptos Narrow"/>
      <family val="2"/>
      <scheme val="minor"/>
    </font>
    <font>
      <b/>
      <sz val="10"/>
      <color rgb="FFFF0000"/>
      <name val="Aptos Narrow"/>
      <family val="2"/>
      <scheme val="minor"/>
    </font>
    <font>
      <sz val="10"/>
      <color theme="1"/>
      <name val="Segoe UI"/>
      <family val="2"/>
    </font>
    <font>
      <b/>
      <sz val="11"/>
      <color theme="1"/>
      <name val="Aptos Narrow"/>
      <family val="2"/>
      <scheme val="minor"/>
    </font>
    <font>
      <b/>
      <sz val="10"/>
      <color theme="1"/>
      <name val="Aptos Narrow"/>
      <family val="2"/>
      <scheme val="minor"/>
    </font>
    <font>
      <b/>
      <sz val="10"/>
      <color rgb="FFFFFFFF"/>
      <name val="Arial"/>
      <family val="2"/>
    </font>
    <font>
      <b/>
      <sz val="9"/>
      <color rgb="FFFFFFFF"/>
      <name val="Arial"/>
      <family val="2"/>
    </font>
    <font>
      <sz val="10"/>
      <color theme="1"/>
      <name val="Arial"/>
      <family val="2"/>
    </font>
    <font>
      <sz val="10"/>
      <name val="Arial"/>
      <family val="2"/>
    </font>
    <font>
      <sz val="9"/>
      <color rgb="FF000000"/>
      <name val="Arial"/>
      <family val="2"/>
    </font>
    <font>
      <sz val="9"/>
      <color theme="1"/>
      <name val="Arial"/>
      <family val="2"/>
    </font>
    <font>
      <sz val="12"/>
      <color theme="1"/>
      <name val="Aptos Narrow"/>
      <family val="2"/>
      <scheme val="minor"/>
    </font>
    <font>
      <b/>
      <sz val="9"/>
      <color theme="1"/>
      <name val="Aptos Narrow"/>
      <family val="2"/>
      <scheme val="minor"/>
    </font>
    <font>
      <b/>
      <sz val="9"/>
      <color theme="1"/>
      <name val="Arial"/>
      <family val="2"/>
    </font>
    <font>
      <sz val="10"/>
      <color rgb="FF000000"/>
      <name val="Arial"/>
      <family val="2"/>
    </font>
    <font>
      <b/>
      <sz val="10"/>
      <color theme="1"/>
      <name val="Arial"/>
      <family val="2"/>
    </font>
    <font>
      <b/>
      <sz val="9"/>
      <color rgb="FF00B050"/>
      <name val="Aptos Narrow"/>
      <family val="2"/>
      <scheme val="minor"/>
    </font>
    <font>
      <sz val="9"/>
      <color rgb="FFFF0000"/>
      <name val="Aptos Narrow"/>
      <family val="2"/>
      <scheme val="minor"/>
    </font>
  </fonts>
  <fills count="13">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C000"/>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rgb="FFA02B93"/>
        <bgColor rgb="FF000000"/>
      </patternFill>
    </fill>
    <fill>
      <patternFill patternType="solid">
        <fgColor theme="7" tint="0.59999389629810485"/>
        <bgColor indexed="64"/>
      </patternFill>
    </fill>
    <fill>
      <patternFill patternType="solid">
        <fgColor rgb="FFFFFF00"/>
        <bgColor indexed="64"/>
      </patternFill>
    </fill>
    <fill>
      <patternFill patternType="solid">
        <fgColor theme="6" tint="0.7999816888943144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theme="7"/>
      </left>
      <right/>
      <top style="thin">
        <color theme="7"/>
      </top>
      <bottom/>
      <diagonal/>
    </border>
    <border>
      <left style="thin">
        <color theme="7" tint="0.39997558519241921"/>
      </left>
      <right/>
      <top style="thin">
        <color theme="7" tint="0.39997558519241921"/>
      </top>
      <bottom style="thin">
        <color theme="7" tint="0.39997558519241921"/>
      </bottom>
      <diagonal/>
    </border>
    <border>
      <left/>
      <right style="thin">
        <color indexed="64"/>
      </right>
      <top/>
      <bottom/>
      <diagonal/>
    </border>
    <border>
      <left style="thin">
        <color indexed="64"/>
      </left>
      <right/>
      <top/>
      <bottom/>
      <diagonal/>
    </border>
  </borders>
  <cellStyleXfs count="3">
    <xf numFmtId="0" fontId="0" fillId="0" borderId="0"/>
    <xf numFmtId="43" fontId="9" fillId="0" borderId="0" applyFont="0" applyFill="0" applyBorder="0" applyAlignment="0" applyProtection="0"/>
    <xf numFmtId="0" fontId="21" fillId="0" borderId="0"/>
  </cellStyleXfs>
  <cellXfs count="204">
    <xf numFmtId="0" fontId="0" fillId="0" borderId="0" xfId="0"/>
    <xf numFmtId="0" fontId="0" fillId="0" borderId="0" xfId="0"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2" fillId="0" borderId="0" xfId="0" applyFont="1" applyAlignment="1">
      <alignment vertical="center"/>
    </xf>
    <xf numFmtId="0" fontId="2" fillId="0" borderId="5"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6" xfId="0" applyFont="1" applyBorder="1" applyAlignment="1">
      <alignment vertical="center"/>
    </xf>
    <xf numFmtId="0" fontId="2" fillId="0" borderId="13" xfId="0" applyFont="1" applyBorder="1" applyAlignment="1">
      <alignment vertical="center"/>
    </xf>
    <xf numFmtId="0" fontId="2" fillId="0" borderId="14" xfId="0" applyFont="1" applyBorder="1" applyAlignment="1">
      <alignment vertical="center"/>
    </xf>
    <xf numFmtId="0" fontId="2" fillId="0" borderId="14" xfId="0" applyFont="1" applyBorder="1" applyAlignment="1">
      <alignment horizontal="center" vertic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0" fontId="4" fillId="0" borderId="0" xfId="0" applyFont="1" applyAlignment="1">
      <alignment horizontal="center" vertical="center"/>
    </xf>
    <xf numFmtId="0" fontId="4" fillId="0" borderId="13" xfId="0" applyFont="1" applyBorder="1" applyAlignment="1">
      <alignment vertical="center"/>
    </xf>
    <xf numFmtId="0" fontId="4" fillId="0" borderId="14" xfId="0" applyFont="1" applyBorder="1" applyAlignment="1">
      <alignment vertical="center"/>
    </xf>
    <xf numFmtId="15" fontId="4" fillId="0" borderId="14" xfId="0" applyNumberFormat="1" applyFont="1" applyBorder="1" applyAlignment="1">
      <alignment vertical="center"/>
    </xf>
    <xf numFmtId="0" fontId="4" fillId="0" borderId="14" xfId="0" applyFont="1" applyBorder="1" applyAlignment="1">
      <alignment horizontal="center" vertical="center"/>
    </xf>
    <xf numFmtId="0" fontId="4" fillId="0" borderId="14" xfId="0" applyFont="1" applyBorder="1" applyAlignment="1">
      <alignment vertical="center" wrapText="1"/>
    </xf>
    <xf numFmtId="0" fontId="4" fillId="0" borderId="15" xfId="0" applyFont="1" applyBorder="1" applyAlignment="1">
      <alignment vertical="center"/>
    </xf>
    <xf numFmtId="0" fontId="4" fillId="0" borderId="0" xfId="0" applyFont="1" applyAlignment="1">
      <alignment vertical="center"/>
    </xf>
    <xf numFmtId="0" fontId="4" fillId="0" borderId="5" xfId="0" applyFont="1" applyBorder="1" applyAlignment="1">
      <alignment vertical="center"/>
    </xf>
    <xf numFmtId="0" fontId="4" fillId="0" borderId="1" xfId="0" applyFont="1" applyBorder="1" applyAlignment="1">
      <alignment vertical="center"/>
    </xf>
    <xf numFmtId="15" fontId="4" fillId="0" borderId="1" xfId="0" applyNumberFormat="1" applyFont="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0" borderId="6" xfId="0" applyFont="1" applyBorder="1" applyAlignment="1">
      <alignment vertical="center"/>
    </xf>
    <xf numFmtId="0" fontId="5" fillId="0" borderId="1" xfId="0" applyFont="1" applyBorder="1" applyAlignment="1">
      <alignment vertical="center" wrapText="1"/>
    </xf>
    <xf numFmtId="0" fontId="4" fillId="0" borderId="7" xfId="0" applyFont="1" applyBorder="1" applyAlignment="1">
      <alignment vertical="center"/>
    </xf>
    <xf numFmtId="0" fontId="4" fillId="0" borderId="6"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center"/>
    </xf>
    <xf numFmtId="0" fontId="7" fillId="0" borderId="1" xfId="0" applyFont="1" applyBorder="1" applyAlignment="1">
      <alignment vertical="center"/>
    </xf>
    <xf numFmtId="0" fontId="4" fillId="0" borderId="8" xfId="0" applyFont="1" applyBorder="1" applyAlignment="1">
      <alignment vertical="center"/>
    </xf>
    <xf numFmtId="0" fontId="4" fillId="0" borderId="8" xfId="0" applyFont="1" applyBorder="1" applyAlignment="1">
      <alignment horizontal="center" vertical="center"/>
    </xf>
    <xf numFmtId="0" fontId="4" fillId="0" borderId="9" xfId="0" applyFont="1" applyBorder="1" applyAlignment="1">
      <alignment vertical="center"/>
    </xf>
    <xf numFmtId="0" fontId="0" fillId="0" borderId="0" xfId="0" applyAlignment="1">
      <alignment vertical="center"/>
    </xf>
    <xf numFmtId="0" fontId="0" fillId="0" borderId="3" xfId="0" applyBorder="1" applyAlignment="1">
      <alignment vertical="center"/>
    </xf>
    <xf numFmtId="15" fontId="0" fillId="0" borderId="3" xfId="0" applyNumberFormat="1" applyBorder="1" applyAlignment="1">
      <alignment vertical="center"/>
    </xf>
    <xf numFmtId="15"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vertical="center"/>
    </xf>
    <xf numFmtId="15" fontId="0" fillId="0" borderId="1" xfId="0" applyNumberFormat="1" applyBorder="1" applyAlignment="1">
      <alignment vertical="center"/>
    </xf>
    <xf numFmtId="15"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8" xfId="0" applyBorder="1" applyAlignment="1">
      <alignment vertical="center"/>
    </xf>
    <xf numFmtId="0" fontId="0" fillId="0" borderId="8" xfId="0" applyBorder="1" applyAlignment="1">
      <alignment horizontal="center" vertical="center"/>
    </xf>
    <xf numFmtId="0" fontId="4" fillId="0" borderId="16" xfId="0" applyFont="1" applyBorder="1" applyAlignment="1">
      <alignment vertical="center"/>
    </xf>
    <xf numFmtId="0" fontId="4" fillId="0" borderId="17" xfId="0" applyFont="1" applyBorder="1" applyAlignment="1">
      <alignment vertical="center"/>
    </xf>
    <xf numFmtId="0" fontId="4" fillId="0" borderId="17" xfId="0" applyFont="1" applyBorder="1" applyAlignment="1">
      <alignment horizontal="center" vertical="center"/>
    </xf>
    <xf numFmtId="0" fontId="4" fillId="0" borderId="18" xfId="0" applyFont="1" applyBorder="1" applyAlignment="1">
      <alignment vertical="center"/>
    </xf>
    <xf numFmtId="0" fontId="4" fillId="0" borderId="5" xfId="0" applyFont="1" applyBorder="1" applyAlignment="1">
      <alignment vertical="center" wrapText="1"/>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4" fillId="0" borderId="3" xfId="0" applyFont="1" applyBorder="1" applyAlignment="1">
      <alignment vertical="center"/>
    </xf>
    <xf numFmtId="15" fontId="4" fillId="0" borderId="3" xfId="0" applyNumberFormat="1" applyFont="1" applyBorder="1" applyAlignment="1">
      <alignment vertical="center"/>
    </xf>
    <xf numFmtId="0" fontId="4" fillId="0" borderId="3" xfId="0" applyFont="1" applyBorder="1" applyAlignment="1">
      <alignment horizontal="center" vertical="center"/>
    </xf>
    <xf numFmtId="43" fontId="4" fillId="0" borderId="0" xfId="1" applyFont="1" applyAlignment="1">
      <alignment vertical="center"/>
    </xf>
    <xf numFmtId="0" fontId="8" fillId="0" borderId="0" xfId="0" applyFont="1" applyAlignment="1">
      <alignment vertical="center"/>
    </xf>
    <xf numFmtId="0" fontId="4" fillId="0" borderId="4" xfId="0" applyFont="1" applyBorder="1" applyAlignment="1">
      <alignment vertical="center" wrapText="1"/>
    </xf>
    <xf numFmtId="15" fontId="2" fillId="0" borderId="14" xfId="0" applyNumberFormat="1" applyFont="1" applyBorder="1" applyAlignment="1">
      <alignment horizontal="center" vertical="center"/>
    </xf>
    <xf numFmtId="15" fontId="2" fillId="0" borderId="1" xfId="0" applyNumberFormat="1" applyFont="1" applyBorder="1" applyAlignment="1">
      <alignment horizontal="center" vertical="center"/>
    </xf>
    <xf numFmtId="15" fontId="4" fillId="0" borderId="14" xfId="0" applyNumberFormat="1" applyFont="1" applyBorder="1" applyAlignment="1">
      <alignment horizontal="center" vertical="center"/>
    </xf>
    <xf numFmtId="15" fontId="4" fillId="0" borderId="1" xfId="0" applyNumberFormat="1" applyFont="1" applyBorder="1" applyAlignment="1">
      <alignment horizontal="center" vertical="center"/>
    </xf>
    <xf numFmtId="15" fontId="10"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4" fillId="0" borderId="9" xfId="0" applyFont="1" applyBorder="1" applyAlignment="1">
      <alignment vertical="center" wrapText="1"/>
    </xf>
    <xf numFmtId="0" fontId="4" fillId="0" borderId="2" xfId="0" applyFont="1" applyBorder="1" applyAlignment="1">
      <alignment vertical="center"/>
    </xf>
    <xf numFmtId="0" fontId="4" fillId="0" borderId="3" xfId="0" applyFont="1" applyBorder="1" applyAlignment="1">
      <alignment vertical="center" wrapText="1"/>
    </xf>
    <xf numFmtId="0" fontId="4" fillId="0" borderId="18" xfId="0" applyFont="1" applyBorder="1" applyAlignment="1">
      <alignment vertical="center" wrapText="1"/>
    </xf>
    <xf numFmtId="0" fontId="11" fillId="0" borderId="6" xfId="0" applyFont="1" applyBorder="1" applyAlignment="1">
      <alignment vertical="center" wrapText="1"/>
    </xf>
    <xf numFmtId="0" fontId="10" fillId="0" borderId="6" xfId="0" applyFont="1" applyBorder="1" applyAlignment="1">
      <alignment vertical="center" wrapText="1"/>
    </xf>
    <xf numFmtId="15" fontId="4" fillId="0" borderId="8" xfId="0" applyNumberFormat="1" applyFont="1" applyBorder="1" applyAlignment="1">
      <alignment vertical="center"/>
    </xf>
    <xf numFmtId="0" fontId="4" fillId="0" borderId="0" xfId="0" applyFont="1"/>
    <xf numFmtId="0" fontId="4" fillId="0" borderId="0" xfId="0" applyFont="1" applyAlignment="1">
      <alignment horizontal="center"/>
    </xf>
    <xf numFmtId="0" fontId="1" fillId="2" borderId="22" xfId="0" applyFont="1" applyFill="1" applyBorder="1" applyAlignment="1">
      <alignment horizontal="center" vertical="center"/>
    </xf>
    <xf numFmtId="0" fontId="0" fillId="3" borderId="3" xfId="0" applyFill="1" applyBorder="1" applyAlignment="1">
      <alignment horizontal="center" vertical="center"/>
    </xf>
    <xf numFmtId="0" fontId="3" fillId="2" borderId="22" xfId="0" applyFont="1" applyFill="1" applyBorder="1" applyAlignment="1">
      <alignment horizontal="center" vertical="center"/>
    </xf>
    <xf numFmtId="0" fontId="0" fillId="0" borderId="4" xfId="0" applyBorder="1" applyAlignment="1">
      <alignment vertical="center"/>
    </xf>
    <xf numFmtId="0" fontId="0" fillId="0" borderId="6" xfId="0" applyBorder="1" applyAlignment="1">
      <alignment vertical="center"/>
    </xf>
    <xf numFmtId="0" fontId="2" fillId="0" borderId="1" xfId="0" applyFont="1" applyBorder="1" applyAlignment="1">
      <alignment vertical="center" wrapText="1"/>
    </xf>
    <xf numFmtId="0" fontId="2" fillId="0" borderId="16" xfId="0" applyFont="1" applyBorder="1" applyAlignment="1">
      <alignment vertical="center"/>
    </xf>
    <xf numFmtId="0" fontId="2" fillId="0" borderId="17" xfId="0" applyFont="1" applyBorder="1" applyAlignment="1">
      <alignment vertical="center"/>
    </xf>
    <xf numFmtId="15" fontId="2" fillId="0" borderId="17" xfId="0" applyNumberFormat="1" applyFont="1" applyBorder="1" applyAlignment="1">
      <alignment horizontal="center" vertical="center"/>
    </xf>
    <xf numFmtId="0" fontId="2" fillId="0" borderId="17"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xf>
    <xf numFmtId="0" fontId="2" fillId="0" borderId="2" xfId="0" applyFont="1" applyBorder="1" applyAlignment="1">
      <alignment vertical="center"/>
    </xf>
    <xf numFmtId="0" fontId="2" fillId="0" borderId="14" xfId="0" applyFont="1" applyBorder="1" applyAlignment="1">
      <alignment vertical="center" wrapText="1"/>
    </xf>
    <xf numFmtId="0" fontId="2" fillId="0" borderId="15" xfId="0" applyFont="1" applyBorder="1" applyAlignment="1">
      <alignment vertical="center"/>
    </xf>
    <xf numFmtId="0" fontId="4" fillId="0" borderId="8" xfId="0" applyFont="1" applyBorder="1" applyAlignment="1">
      <alignment vertical="center" wrapText="1"/>
    </xf>
    <xf numFmtId="0" fontId="0" fillId="0" borderId="1" xfId="0" applyBorder="1"/>
    <xf numFmtId="0" fontId="0" fillId="0" borderId="1" xfId="0" applyBorder="1" applyAlignment="1">
      <alignment horizontal="left"/>
    </xf>
    <xf numFmtId="0" fontId="0" fillId="0" borderId="8" xfId="0" applyBorder="1"/>
    <xf numFmtId="0" fontId="0" fillId="0" borderId="8" xfId="0" applyBorder="1" applyAlignment="1">
      <alignment horizontal="left"/>
    </xf>
    <xf numFmtId="0" fontId="0" fillId="0" borderId="5" xfId="0" applyBorder="1" applyAlignment="1">
      <alignment horizontal="left"/>
    </xf>
    <xf numFmtId="0" fontId="0" fillId="0" borderId="7" xfId="0" applyBorder="1" applyAlignment="1">
      <alignment horizontal="left"/>
    </xf>
    <xf numFmtId="0" fontId="0" fillId="0" borderId="14" xfId="0" applyBorder="1"/>
    <xf numFmtId="0" fontId="0" fillId="0" borderId="14" xfId="0" applyBorder="1" applyAlignment="1">
      <alignment horizontal="left"/>
    </xf>
    <xf numFmtId="0" fontId="10" fillId="0" borderId="1" xfId="0" applyFont="1" applyBorder="1" applyAlignment="1">
      <alignment vertical="center" wrapText="1"/>
    </xf>
    <xf numFmtId="0" fontId="4" fillId="4" borderId="14" xfId="0" applyFont="1" applyFill="1" applyBorder="1" applyAlignment="1">
      <alignment vertical="center"/>
    </xf>
    <xf numFmtId="0" fontId="4" fillId="4" borderId="1" xfId="0" applyFont="1" applyFill="1" applyBorder="1" applyAlignment="1">
      <alignment vertical="center"/>
    </xf>
    <xf numFmtId="0" fontId="4" fillId="5" borderId="1" xfId="0" applyFont="1" applyFill="1" applyBorder="1" applyAlignment="1">
      <alignment vertical="center"/>
    </xf>
    <xf numFmtId="0" fontId="4" fillId="6" borderId="1" xfId="0" applyFont="1" applyFill="1" applyBorder="1" applyAlignment="1">
      <alignment vertical="center"/>
    </xf>
    <xf numFmtId="0" fontId="0" fillId="0" borderId="3" xfId="0" applyBorder="1" applyAlignment="1">
      <alignment vertical="center" wrapText="1"/>
    </xf>
    <xf numFmtId="0" fontId="0" fillId="0" borderId="1" xfId="0" applyBorder="1" applyAlignment="1">
      <alignment vertical="center" wrapText="1"/>
    </xf>
    <xf numFmtId="0" fontId="12" fillId="0" borderId="0" xfId="0" applyFont="1" applyAlignment="1">
      <alignment vertical="center"/>
    </xf>
    <xf numFmtId="0" fontId="4" fillId="0" borderId="15" xfId="0" applyFont="1" applyBorder="1" applyAlignment="1">
      <alignment vertical="center" wrapText="1"/>
    </xf>
    <xf numFmtId="43" fontId="4" fillId="0" borderId="0" xfId="1" applyFont="1" applyAlignment="1">
      <alignment horizontal="center" vertical="center"/>
    </xf>
    <xf numFmtId="0" fontId="0" fillId="3" borderId="1" xfId="0" applyFill="1" applyBorder="1" applyAlignment="1">
      <alignment horizontal="center" vertical="center"/>
    </xf>
    <xf numFmtId="0" fontId="4" fillId="0" borderId="14" xfId="0" applyFont="1" applyBorder="1" applyAlignment="1">
      <alignment horizontal="center" vertical="center" wrapText="1"/>
    </xf>
    <xf numFmtId="0" fontId="0" fillId="0" borderId="17" xfId="0" applyBorder="1" applyAlignment="1">
      <alignment vertical="center"/>
    </xf>
    <xf numFmtId="0" fontId="3" fillId="2" borderId="20" xfId="0" applyFont="1" applyFill="1" applyBorder="1" applyAlignment="1">
      <alignment horizontal="center" vertical="center" wrapText="1"/>
    </xf>
    <xf numFmtId="0" fontId="4" fillId="0" borderId="1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0" xfId="0" applyFont="1" applyAlignment="1">
      <alignment horizontal="center" vertical="center" wrapText="1"/>
    </xf>
    <xf numFmtId="0" fontId="4" fillId="0" borderId="24" xfId="0" applyFont="1" applyBorder="1" applyAlignment="1">
      <alignment vertical="center"/>
    </xf>
    <xf numFmtId="0" fontId="0" fillId="0" borderId="23" xfId="0" applyBorder="1"/>
    <xf numFmtId="0" fontId="4" fillId="0" borderId="23" xfId="0" applyFont="1" applyBorder="1" applyAlignment="1">
      <alignment vertical="center"/>
    </xf>
    <xf numFmtId="0" fontId="0" fillId="0" borderId="23" xfId="0" applyBorder="1" applyAlignment="1">
      <alignment horizontal="left"/>
    </xf>
    <xf numFmtId="0" fontId="4" fillId="0" borderId="23" xfId="0" applyFont="1" applyBorder="1" applyAlignment="1">
      <alignment horizontal="center" vertical="center"/>
    </xf>
    <xf numFmtId="0" fontId="4" fillId="0" borderId="25" xfId="0" applyFont="1" applyBorder="1" applyAlignment="1">
      <alignment vertical="center"/>
    </xf>
    <xf numFmtId="0" fontId="13" fillId="7" borderId="11" xfId="0" applyFont="1" applyFill="1" applyBorder="1" applyAlignment="1">
      <alignment horizontal="center" vertical="center"/>
    </xf>
    <xf numFmtId="0" fontId="2" fillId="0" borderId="26" xfId="0" applyFont="1" applyBorder="1" applyAlignment="1">
      <alignment vertical="center"/>
    </xf>
    <xf numFmtId="0" fontId="2" fillId="0" borderId="27" xfId="0" applyFont="1" applyBorder="1" applyAlignment="1">
      <alignment vertical="center"/>
    </xf>
    <xf numFmtId="0" fontId="4" fillId="0" borderId="17" xfId="0" applyFont="1" applyBorder="1" applyAlignment="1">
      <alignment vertical="center" wrapText="1"/>
    </xf>
    <xf numFmtId="0" fontId="5" fillId="0" borderId="1" xfId="0" applyFont="1" applyBorder="1" applyAlignment="1">
      <alignment vertical="center"/>
    </xf>
    <xf numFmtId="0" fontId="4" fillId="6" borderId="1" xfId="0" applyFont="1" applyFill="1" applyBorder="1" applyAlignment="1">
      <alignment vertical="center" wrapText="1"/>
    </xf>
    <xf numFmtId="0" fontId="4" fillId="8" borderId="28" xfId="0" applyFont="1" applyFill="1" applyBorder="1" applyAlignment="1">
      <alignment vertical="center"/>
    </xf>
    <xf numFmtId="0" fontId="0" fillId="0" borderId="17" xfId="0" applyBorder="1" applyAlignment="1">
      <alignment horizontal="center" vertical="center"/>
    </xf>
    <xf numFmtId="0" fontId="13" fillId="7" borderId="10" xfId="0" applyFont="1" applyFill="1" applyBorder="1" applyAlignment="1">
      <alignment horizontal="center" vertical="center"/>
    </xf>
    <xf numFmtId="0" fontId="13" fillId="7" borderId="12" xfId="0" applyFont="1" applyFill="1" applyBorder="1" applyAlignment="1">
      <alignment horizontal="center" vertical="center"/>
    </xf>
    <xf numFmtId="0" fontId="0" fillId="0" borderId="2" xfId="0" applyBorder="1" applyAlignment="1">
      <alignment vertical="center"/>
    </xf>
    <xf numFmtId="0" fontId="5" fillId="0" borderId="5" xfId="0" applyFont="1" applyBorder="1" applyAlignment="1">
      <alignment vertical="center"/>
    </xf>
    <xf numFmtId="0" fontId="10" fillId="0" borderId="1" xfId="0" applyFont="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16" fillId="9" borderId="17" xfId="0" applyFont="1" applyFill="1" applyBorder="1" applyAlignment="1">
      <alignment horizontal="center" vertical="center" wrapText="1"/>
    </xf>
    <xf numFmtId="0" fontId="17" fillId="0" borderId="1" xfId="0" applyFont="1" applyBorder="1" applyAlignment="1">
      <alignment vertical="center"/>
    </xf>
    <xf numFmtId="0" fontId="17" fillId="0" borderId="1" xfId="0" applyFont="1" applyBorder="1" applyAlignment="1">
      <alignment horizontal="left" vertical="center"/>
    </xf>
    <xf numFmtId="164" fontId="18" fillId="0" borderId="1" xfId="0" applyNumberFormat="1" applyFont="1" applyBorder="1" applyAlignment="1">
      <alignment horizontal="left" vertical="center"/>
    </xf>
    <xf numFmtId="15" fontId="19" fillId="0" borderId="1" xfId="0" applyNumberFormat="1" applyFont="1" applyBorder="1" applyAlignment="1">
      <alignment vertical="center" wrapText="1"/>
    </xf>
    <xf numFmtId="0" fontId="18" fillId="0" borderId="1" xfId="0" applyFont="1" applyBorder="1" applyAlignment="1">
      <alignment horizontal="left" vertical="center"/>
    </xf>
    <xf numFmtId="0" fontId="20" fillId="0" borderId="37" xfId="0" applyFont="1" applyBorder="1" applyAlignment="1">
      <alignment vertical="center"/>
    </xf>
    <xf numFmtId="165" fontId="20" fillId="0" borderId="37" xfId="0" applyNumberFormat="1" applyFont="1" applyBorder="1" applyAlignment="1">
      <alignment vertical="center"/>
    </xf>
    <xf numFmtId="0" fontId="15" fillId="9" borderId="17" xfId="0" applyFont="1" applyFill="1" applyBorder="1" applyAlignment="1">
      <alignment horizontal="center" vertical="center" wrapText="1"/>
    </xf>
    <xf numFmtId="0" fontId="20" fillId="0" borderId="37" xfId="0" applyFont="1" applyBorder="1" applyAlignment="1">
      <alignment vertical="center" wrapText="1"/>
    </xf>
    <xf numFmtId="0" fontId="2" fillId="0" borderId="6" xfId="0" applyFont="1" applyBorder="1" applyAlignment="1">
      <alignment vertical="center" wrapText="1"/>
    </xf>
    <xf numFmtId="0" fontId="2" fillId="0" borderId="1" xfId="0" applyFont="1" applyBorder="1" applyAlignment="1">
      <alignment horizontal="left" vertical="center" wrapText="1"/>
    </xf>
    <xf numFmtId="0" fontId="20" fillId="0" borderId="37" xfId="0" applyFont="1" applyBorder="1" applyAlignment="1">
      <alignment horizontal="center" vertical="center"/>
    </xf>
    <xf numFmtId="0" fontId="19" fillId="0" borderId="1" xfId="0" applyFont="1" applyBorder="1" applyAlignment="1">
      <alignment vertical="center"/>
    </xf>
    <xf numFmtId="0" fontId="24" fillId="0" borderId="1" xfId="0" applyFont="1" applyBorder="1" applyAlignment="1">
      <alignment vertical="center" wrapText="1"/>
    </xf>
    <xf numFmtId="0" fontId="17" fillId="8" borderId="1" xfId="0" applyFont="1" applyFill="1" applyBorder="1" applyAlignment="1">
      <alignment horizontal="center" vertical="center"/>
    </xf>
    <xf numFmtId="0" fontId="17" fillId="0" borderId="0" xfId="0" applyFont="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vertical="center" wrapText="1"/>
    </xf>
    <xf numFmtId="0" fontId="17" fillId="0" borderId="0" xfId="0" applyFont="1" applyAlignment="1">
      <alignment vertical="center"/>
    </xf>
    <xf numFmtId="0" fontId="0" fillId="0" borderId="1" xfId="0" applyBorder="1" applyAlignment="1">
      <alignment horizontal="left" vertical="center"/>
    </xf>
    <xf numFmtId="0" fontId="17" fillId="10" borderId="1" xfId="0" applyFont="1" applyFill="1" applyBorder="1" applyAlignment="1">
      <alignment horizontal="center" vertical="center"/>
    </xf>
    <xf numFmtId="15" fontId="17" fillId="0" borderId="1" xfId="0" applyNumberFormat="1" applyFont="1" applyBorder="1" applyAlignment="1">
      <alignment vertical="center"/>
    </xf>
    <xf numFmtId="0" fontId="17" fillId="0" borderId="1" xfId="0" applyFont="1" applyBorder="1" applyAlignment="1">
      <alignment horizontal="center"/>
    </xf>
    <xf numFmtId="0" fontId="17" fillId="0" borderId="0" xfId="0" applyFont="1" applyAlignment="1">
      <alignment horizontal="left" vertical="center"/>
    </xf>
    <xf numFmtId="0" fontId="18" fillId="0" borderId="1" xfId="0" applyFont="1" applyBorder="1" applyAlignment="1">
      <alignment horizontal="left" vertical="center" wrapText="1"/>
    </xf>
    <xf numFmtId="15" fontId="17" fillId="0" borderId="0" xfId="0" applyNumberFormat="1" applyFont="1" applyAlignment="1">
      <alignment vertical="center"/>
    </xf>
    <xf numFmtId="0" fontId="3" fillId="2" borderId="17" xfId="0" applyFont="1" applyFill="1" applyBorder="1" applyAlignment="1">
      <alignment horizontal="center" vertical="center"/>
    </xf>
    <xf numFmtId="0" fontId="0" fillId="0" borderId="6" xfId="0"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0" fillId="0" borderId="9" xfId="0" applyBorder="1" applyAlignment="1">
      <alignment vertical="center"/>
    </xf>
    <xf numFmtId="0" fontId="0" fillId="0" borderId="18" xfId="0" applyBorder="1" applyAlignment="1">
      <alignment vertical="center"/>
    </xf>
    <xf numFmtId="15" fontId="0" fillId="0" borderId="8" xfId="0" applyNumberFormat="1" applyBorder="1" applyAlignment="1">
      <alignment vertical="center"/>
    </xf>
    <xf numFmtId="0" fontId="0" fillId="0" borderId="26" xfId="0" applyBorder="1" applyAlignment="1">
      <alignment vertical="center"/>
    </xf>
    <xf numFmtId="15" fontId="27" fillId="11" borderId="1" xfId="0" applyNumberFormat="1" applyFont="1" applyFill="1" applyBorder="1" applyAlignment="1">
      <alignment horizontal="center" vertical="center"/>
    </xf>
    <xf numFmtId="0" fontId="22" fillId="0" borderId="1" xfId="0" applyFont="1" applyBorder="1" applyAlignment="1">
      <alignment vertical="center" wrapText="1"/>
    </xf>
    <xf numFmtId="0" fontId="2" fillId="12" borderId="1" xfId="0" applyFont="1" applyFill="1" applyBorder="1" applyAlignment="1">
      <alignment vertical="center"/>
    </xf>
    <xf numFmtId="0" fontId="20" fillId="12" borderId="37" xfId="0" applyFont="1" applyFill="1" applyBorder="1" applyAlignment="1">
      <alignment vertical="center"/>
    </xf>
    <xf numFmtId="43" fontId="20" fillId="0" borderId="37" xfId="1" applyFont="1" applyBorder="1" applyAlignment="1">
      <alignment vertical="center"/>
    </xf>
    <xf numFmtId="43" fontId="20" fillId="0" borderId="37" xfId="1" applyFont="1" applyBorder="1" applyAlignment="1">
      <alignment horizontal="center" vertical="center"/>
    </xf>
    <xf numFmtId="43" fontId="20" fillId="0" borderId="37" xfId="0" applyNumberFormat="1" applyFont="1" applyBorder="1" applyAlignment="1">
      <alignment vertical="center"/>
    </xf>
    <xf numFmtId="43" fontId="0" fillId="0" borderId="0" xfId="1" applyFont="1" applyAlignment="1">
      <alignment horizontal="center" vertical="center"/>
    </xf>
    <xf numFmtId="0" fontId="0" fillId="0" borderId="5" xfId="0" applyBorder="1" applyAlignment="1">
      <alignment vertical="center"/>
    </xf>
    <xf numFmtId="15" fontId="19" fillId="3" borderId="6" xfId="2" applyNumberFormat="1" applyFont="1" applyFill="1" applyBorder="1" applyAlignment="1">
      <alignment vertical="center"/>
    </xf>
    <xf numFmtId="0" fontId="0" fillId="0" borderId="7" xfId="0" applyBorder="1" applyAlignment="1">
      <alignment horizontal="left" vertical="center"/>
    </xf>
    <xf numFmtId="15" fontId="19" fillId="3" borderId="4" xfId="2" applyNumberFormat="1" applyFont="1" applyFill="1" applyBorder="1" applyAlignment="1">
      <alignment vertical="center"/>
    </xf>
    <xf numFmtId="15" fontId="19" fillId="3" borderId="9" xfId="2" applyNumberFormat="1" applyFont="1" applyFill="1" applyBorder="1" applyAlignment="1">
      <alignment vertical="center"/>
    </xf>
    <xf numFmtId="0" fontId="19" fillId="0" borderId="38" xfId="2" applyFont="1" applyBorder="1" applyAlignment="1">
      <alignment vertical="center"/>
    </xf>
    <xf numFmtId="15" fontId="2" fillId="0" borderId="0" xfId="0" applyNumberFormat="1" applyFont="1" applyAlignment="1">
      <alignment horizontal="center" vertical="center"/>
    </xf>
    <xf numFmtId="0" fontId="2" fillId="0" borderId="39" xfId="0" applyFont="1" applyBorder="1" applyAlignment="1">
      <alignment horizontal="center" vertical="center"/>
    </xf>
    <xf numFmtId="0" fontId="2" fillId="0" borderId="23" xfId="0" applyFont="1" applyBorder="1" applyAlignment="1">
      <alignment vertical="center" wrapText="1"/>
    </xf>
    <xf numFmtId="0" fontId="2" fillId="0" borderId="40" xfId="0" applyFont="1" applyBorder="1" applyAlignment="1">
      <alignment vertical="center" wrapText="1"/>
    </xf>
    <xf numFmtId="0" fontId="2" fillId="0" borderId="0" xfId="0" applyFont="1" applyAlignment="1">
      <alignment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cellXfs>
  <cellStyles count="3">
    <cellStyle name="Comma" xfId="1" builtinId="3"/>
    <cellStyle name="Normal" xfId="0" builtinId="0"/>
    <cellStyle name="Normal 2" xfId="2" xr:uid="{297A8DCB-0626-444A-9870-8A32D99396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Thiyagarajan S" id="{6A205E26-D8D6-438F-B42B-F81435CE2934}" userId="S::thiyagarajan.s@uipath.com::5af77d0c-c169-4bcb-b34d-aba916ede58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0" dT="2025-01-28T10:25:22.10" personId="{6A205E26-D8D6-438F-B42B-F81435CE2934}" id="{5C23C4E8-1A4E-4DD8-9D99-7C257CECECBA}">
    <text>Zero $ SOW- extension of PR-008494</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7.xml.rels><?xml version="1.0" encoding="UTF-8" standalone="yes"?>
<Relationships xmlns="http://schemas.openxmlformats.org/package/2006/relationships"><Relationship Id="rId3" Type="http://schemas.openxmlformats.org/officeDocument/2006/relationships/hyperlink" Target="mailto:Raphael.Gernath@nypa.gov;" TargetMode="External"/><Relationship Id="rId2" Type="http://schemas.openxmlformats.org/officeDocument/2006/relationships/hyperlink" Target="mailto:sameer.thakur@nypa.gov" TargetMode="External"/><Relationship Id="rId1" Type="http://schemas.openxmlformats.org/officeDocument/2006/relationships/hyperlink" Target="mailto:John.Wagner@nypa.gov;Emmanuel.CHERIAN@nypa.gov"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981F-E073-4645-8075-A86805043497}">
  <dimension ref="A1:U64"/>
  <sheetViews>
    <sheetView showGridLines="0" zoomScaleNormal="100" workbookViewId="0">
      <pane xSplit="2" ySplit="1" topLeftCell="C42" activePane="bottomRight" state="frozen"/>
      <selection pane="topRight" activeCell="C1" sqref="C1"/>
      <selection pane="bottomLeft" activeCell="A2" sqref="A2"/>
      <selection pane="bottomRight" activeCell="B47" sqref="B47"/>
    </sheetView>
  </sheetViews>
  <sheetFormatPr defaultColWidth="20" defaultRowHeight="12.5" x14ac:dyDescent="0.35"/>
  <cols>
    <col min="1" max="1" width="5.453125" style="158" bestFit="1" customWidth="1"/>
    <col min="2" max="2" width="73.36328125" style="161" bestFit="1" customWidth="1"/>
    <col min="3" max="3" width="13.7265625" style="161" bestFit="1" customWidth="1"/>
    <col min="4" max="4" width="18.26953125" style="161" bestFit="1" customWidth="1"/>
    <col min="5" max="5" width="14.81640625" style="161" customWidth="1"/>
    <col min="6" max="6" width="13.81640625" style="161" bestFit="1" customWidth="1"/>
    <col min="7" max="7" width="14" style="161" bestFit="1" customWidth="1"/>
    <col min="8" max="8" width="12.81640625" style="166" customWidth="1"/>
    <col min="9" max="9" width="10.1796875" style="158" bestFit="1" customWidth="1"/>
    <col min="10" max="11" width="10.1796875" style="158" hidden="1" customWidth="1"/>
    <col min="12" max="12" width="9.90625" style="158" bestFit="1" customWidth="1"/>
    <col min="13" max="13" width="7.7265625" style="158" customWidth="1"/>
    <col min="14" max="14" width="37.08984375" style="161" customWidth="1"/>
    <col min="15" max="16" width="33.6328125" style="161" customWidth="1"/>
    <col min="17" max="16384" width="20" style="161"/>
  </cols>
  <sheetData>
    <row r="1" spans="1:21" s="158" customFormat="1" ht="26" x14ac:dyDescent="0.35">
      <c r="A1" s="150" t="s">
        <v>436</v>
      </c>
      <c r="B1" s="150" t="s">
        <v>424</v>
      </c>
      <c r="C1" s="150" t="s">
        <v>425</v>
      </c>
      <c r="D1" s="150" t="s">
        <v>426</v>
      </c>
      <c r="E1" s="150" t="s">
        <v>296</v>
      </c>
      <c r="F1" s="150" t="s">
        <v>427</v>
      </c>
      <c r="G1" s="150" t="s">
        <v>428</v>
      </c>
      <c r="H1" s="150" t="s">
        <v>429</v>
      </c>
      <c r="I1" s="150" t="s">
        <v>430</v>
      </c>
      <c r="J1" s="150" t="s">
        <v>542</v>
      </c>
      <c r="K1" s="150" t="s">
        <v>543</v>
      </c>
      <c r="L1" s="150" t="s">
        <v>431</v>
      </c>
      <c r="M1" s="150" t="s">
        <v>544</v>
      </c>
      <c r="N1" s="142" t="s">
        <v>434</v>
      </c>
      <c r="O1" s="150" t="s">
        <v>432</v>
      </c>
      <c r="P1" s="150" t="s">
        <v>433</v>
      </c>
      <c r="Q1" s="150" t="s">
        <v>450</v>
      </c>
      <c r="R1" s="142" t="s">
        <v>435</v>
      </c>
      <c r="S1" s="142" t="s">
        <v>451</v>
      </c>
      <c r="T1" s="142" t="s">
        <v>454</v>
      </c>
      <c r="U1" s="142" t="s">
        <v>455</v>
      </c>
    </row>
    <row r="2" spans="1:21" x14ac:dyDescent="0.35">
      <c r="A2" s="159">
        <v>1</v>
      </c>
      <c r="B2" s="143" t="s">
        <v>545</v>
      </c>
      <c r="C2" s="145">
        <v>1021714</v>
      </c>
      <c r="D2" s="143" t="s">
        <v>446</v>
      </c>
      <c r="E2" s="147" t="s">
        <v>447</v>
      </c>
      <c r="F2" s="143" t="s">
        <v>438</v>
      </c>
      <c r="G2" s="143" t="s">
        <v>546</v>
      </c>
      <c r="H2" s="143" t="s">
        <v>547</v>
      </c>
      <c r="I2" s="159" t="s">
        <v>441</v>
      </c>
      <c r="J2" s="159">
        <v>1.25</v>
      </c>
      <c r="K2" s="159">
        <v>18.25</v>
      </c>
      <c r="L2" s="157" t="s">
        <v>442</v>
      </c>
      <c r="M2" s="159" t="s">
        <v>548</v>
      </c>
      <c r="N2" s="160"/>
      <c r="O2" s="160"/>
      <c r="P2" s="146">
        <v>45016</v>
      </c>
      <c r="Q2" s="146">
        <v>46142</v>
      </c>
      <c r="R2" s="143"/>
      <c r="S2" s="143"/>
      <c r="T2" s="143"/>
      <c r="U2" s="143"/>
    </row>
    <row r="3" spans="1:21" ht="17" customHeight="1" x14ac:dyDescent="0.35">
      <c r="A3" s="159">
        <v>2</v>
      </c>
      <c r="B3" s="143" t="s">
        <v>502</v>
      </c>
      <c r="C3" s="145">
        <v>175000</v>
      </c>
      <c r="D3" s="143" t="s">
        <v>446</v>
      </c>
      <c r="E3" s="162" t="s">
        <v>549</v>
      </c>
      <c r="F3" s="143" t="s">
        <v>550</v>
      </c>
      <c r="G3" s="143" t="s">
        <v>551</v>
      </c>
      <c r="H3" s="143" t="s">
        <v>552</v>
      </c>
      <c r="I3" s="159" t="s">
        <v>441</v>
      </c>
      <c r="J3" s="159">
        <v>2.5</v>
      </c>
      <c r="K3" s="159">
        <v>2</v>
      </c>
      <c r="L3" s="157" t="s">
        <v>442</v>
      </c>
      <c r="M3" s="159" t="s">
        <v>548</v>
      </c>
      <c r="N3" s="143"/>
      <c r="O3" s="143"/>
      <c r="P3" s="146">
        <v>44953</v>
      </c>
      <c r="Q3" s="146">
        <v>46138</v>
      </c>
      <c r="R3" s="143"/>
      <c r="S3" s="143"/>
      <c r="T3" s="143"/>
      <c r="U3" s="143"/>
    </row>
    <row r="4" spans="1:21" ht="17" customHeight="1" x14ac:dyDescent="0.35">
      <c r="A4" s="159">
        <v>3</v>
      </c>
      <c r="B4" s="147" t="s">
        <v>553</v>
      </c>
      <c r="C4" s="145">
        <v>15000</v>
      </c>
      <c r="D4" s="143" t="s">
        <v>446</v>
      </c>
      <c r="E4" s="147" t="s">
        <v>447</v>
      </c>
      <c r="F4" s="143" t="s">
        <v>438</v>
      </c>
      <c r="G4" s="143" t="s">
        <v>546</v>
      </c>
      <c r="H4" s="143" t="s">
        <v>440</v>
      </c>
      <c r="I4" s="159" t="s">
        <v>441</v>
      </c>
      <c r="J4" s="159">
        <v>0.5</v>
      </c>
      <c r="K4" s="159">
        <v>0</v>
      </c>
      <c r="L4" s="157" t="s">
        <v>442</v>
      </c>
      <c r="M4" s="159" t="s">
        <v>548</v>
      </c>
      <c r="N4" s="143"/>
      <c r="O4" s="143"/>
      <c r="P4" s="146">
        <v>45119</v>
      </c>
      <c r="Q4" s="146">
        <v>45851</v>
      </c>
      <c r="R4" s="143"/>
      <c r="S4" s="143"/>
      <c r="T4" s="143"/>
      <c r="U4" s="143"/>
    </row>
    <row r="5" spans="1:21" ht="50" x14ac:dyDescent="0.35">
      <c r="A5" s="159">
        <v>4</v>
      </c>
      <c r="B5" s="161" t="s">
        <v>582</v>
      </c>
      <c r="C5" s="145">
        <v>123750</v>
      </c>
      <c r="D5" s="143" t="s">
        <v>446</v>
      </c>
      <c r="E5" s="147" t="s">
        <v>447</v>
      </c>
      <c r="F5" s="143" t="s">
        <v>438</v>
      </c>
      <c r="G5" s="143" t="s">
        <v>439</v>
      </c>
      <c r="H5" s="143" t="s">
        <v>440</v>
      </c>
      <c r="I5" s="159" t="s">
        <v>441</v>
      </c>
      <c r="J5" s="159">
        <v>0</v>
      </c>
      <c r="K5" s="159">
        <v>2</v>
      </c>
      <c r="L5" s="157" t="s">
        <v>442</v>
      </c>
      <c r="M5" s="159" t="s">
        <v>548</v>
      </c>
      <c r="N5" s="167" t="s">
        <v>448</v>
      </c>
      <c r="O5" s="167" t="s">
        <v>449</v>
      </c>
      <c r="P5" s="146">
        <v>45484</v>
      </c>
      <c r="Q5" s="168">
        <v>46213</v>
      </c>
      <c r="R5" s="25"/>
      <c r="S5" s="28" t="s">
        <v>453</v>
      </c>
      <c r="T5" s="26">
        <v>45823</v>
      </c>
      <c r="U5" s="143"/>
    </row>
    <row r="6" spans="1:21" ht="17" customHeight="1" x14ac:dyDescent="0.35">
      <c r="A6" s="159">
        <v>5</v>
      </c>
      <c r="B6" s="143" t="s">
        <v>503</v>
      </c>
      <c r="C6" s="145">
        <v>93934.77</v>
      </c>
      <c r="D6" s="143" t="s">
        <v>446</v>
      </c>
      <c r="E6" s="147" t="s">
        <v>447</v>
      </c>
      <c r="F6" s="143" t="s">
        <v>438</v>
      </c>
      <c r="G6" s="143" t="s">
        <v>439</v>
      </c>
      <c r="H6" s="143" t="s">
        <v>440</v>
      </c>
      <c r="I6" s="159" t="s">
        <v>441</v>
      </c>
      <c r="J6" s="159">
        <v>0</v>
      </c>
      <c r="K6" s="159">
        <v>1</v>
      </c>
      <c r="L6" s="157" t="s">
        <v>442</v>
      </c>
      <c r="M6" s="159" t="s">
        <v>548</v>
      </c>
      <c r="N6" s="143"/>
      <c r="O6" s="143"/>
      <c r="P6" s="146">
        <v>45534</v>
      </c>
      <c r="Q6" s="146">
        <v>46267</v>
      </c>
      <c r="R6" s="143"/>
      <c r="S6" s="143"/>
      <c r="T6" s="143"/>
      <c r="U6" s="143"/>
    </row>
    <row r="7" spans="1:21" ht="17" customHeight="1" x14ac:dyDescent="0.35">
      <c r="A7" s="159">
        <v>6</v>
      </c>
      <c r="B7" s="143" t="s">
        <v>504</v>
      </c>
      <c r="C7" s="145">
        <v>41184</v>
      </c>
      <c r="D7" s="143" t="s">
        <v>446</v>
      </c>
      <c r="E7" s="147" t="s">
        <v>447</v>
      </c>
      <c r="F7" s="143" t="s">
        <v>438</v>
      </c>
      <c r="G7" s="143" t="s">
        <v>439</v>
      </c>
      <c r="H7" s="143" t="s">
        <v>440</v>
      </c>
      <c r="I7" s="159" t="s">
        <v>441</v>
      </c>
      <c r="J7" s="159">
        <v>0.25</v>
      </c>
      <c r="K7" s="159">
        <v>0</v>
      </c>
      <c r="L7" s="157" t="s">
        <v>442</v>
      </c>
      <c r="M7" s="159" t="s">
        <v>548</v>
      </c>
      <c r="N7" s="143"/>
      <c r="O7" s="143"/>
      <c r="P7" s="146">
        <v>45261</v>
      </c>
      <c r="Q7" s="146">
        <v>45991</v>
      </c>
      <c r="R7" s="143"/>
      <c r="S7" s="143"/>
      <c r="T7" s="143"/>
      <c r="U7" s="143"/>
    </row>
    <row r="8" spans="1:21" ht="17" customHeight="1" x14ac:dyDescent="0.35">
      <c r="A8" s="159">
        <v>7</v>
      </c>
      <c r="B8" s="143" t="s">
        <v>554</v>
      </c>
      <c r="C8" s="145">
        <v>162000</v>
      </c>
      <c r="D8" s="143" t="s">
        <v>446</v>
      </c>
      <c r="E8" s="147" t="s">
        <v>447</v>
      </c>
      <c r="F8" s="143" t="s">
        <v>438</v>
      </c>
      <c r="G8" s="143" t="s">
        <v>546</v>
      </c>
      <c r="H8" s="143" t="s">
        <v>547</v>
      </c>
      <c r="I8" s="159" t="s">
        <v>441</v>
      </c>
      <c r="J8" s="159">
        <v>0.25</v>
      </c>
      <c r="K8" s="159">
        <v>3.5</v>
      </c>
      <c r="L8" s="157" t="s">
        <v>442</v>
      </c>
      <c r="M8" s="159" t="s">
        <v>548</v>
      </c>
      <c r="N8" s="143"/>
      <c r="O8" s="143"/>
      <c r="P8" s="146">
        <v>45587</v>
      </c>
      <c r="Q8" s="146">
        <v>46316</v>
      </c>
      <c r="R8" s="143"/>
      <c r="S8" s="143"/>
      <c r="T8" s="143"/>
      <c r="U8" s="143"/>
    </row>
    <row r="9" spans="1:21" ht="17" customHeight="1" x14ac:dyDescent="0.35">
      <c r="A9" s="159">
        <v>8</v>
      </c>
      <c r="B9" s="143" t="s">
        <v>505</v>
      </c>
      <c r="C9" s="145">
        <v>225170</v>
      </c>
      <c r="D9" s="143" t="s">
        <v>446</v>
      </c>
      <c r="E9" s="147" t="s">
        <v>447</v>
      </c>
      <c r="F9" s="143" t="s">
        <v>550</v>
      </c>
      <c r="G9" s="143" t="s">
        <v>551</v>
      </c>
      <c r="H9" s="143" t="s">
        <v>547</v>
      </c>
      <c r="I9" s="159" t="s">
        <v>478</v>
      </c>
      <c r="J9" s="159">
        <v>1</v>
      </c>
      <c r="K9" s="159">
        <v>1</v>
      </c>
      <c r="L9" s="157" t="s">
        <v>442</v>
      </c>
      <c r="M9" s="159" t="s">
        <v>548</v>
      </c>
      <c r="N9" s="143"/>
      <c r="O9" s="143"/>
      <c r="P9" s="146">
        <v>45189</v>
      </c>
      <c r="Q9" s="146">
        <v>45924</v>
      </c>
      <c r="R9" s="143"/>
      <c r="S9" s="143"/>
      <c r="T9" s="143"/>
      <c r="U9" s="143"/>
    </row>
    <row r="10" spans="1:21" ht="17" customHeight="1" x14ac:dyDescent="0.35">
      <c r="A10" s="159">
        <v>9</v>
      </c>
      <c r="B10" s="143" t="s">
        <v>506</v>
      </c>
      <c r="C10" s="145">
        <v>65780</v>
      </c>
      <c r="D10" s="143" t="s">
        <v>446</v>
      </c>
      <c r="E10" s="147" t="s">
        <v>447</v>
      </c>
      <c r="F10" s="143" t="s">
        <v>550</v>
      </c>
      <c r="G10" s="143" t="s">
        <v>551</v>
      </c>
      <c r="H10" s="143" t="s">
        <v>547</v>
      </c>
      <c r="I10" s="159" t="s">
        <v>441</v>
      </c>
      <c r="J10" s="157" t="s">
        <v>442</v>
      </c>
      <c r="K10" s="159" t="s">
        <v>548</v>
      </c>
      <c r="L10" s="157" t="s">
        <v>442</v>
      </c>
      <c r="M10" s="159" t="s">
        <v>548</v>
      </c>
      <c r="N10" s="143"/>
      <c r="O10" s="143"/>
      <c r="P10" s="146">
        <v>45680</v>
      </c>
      <c r="Q10" s="146">
        <v>46103</v>
      </c>
      <c r="R10" s="143"/>
      <c r="S10" s="143"/>
      <c r="T10" s="143"/>
      <c r="U10" s="143"/>
    </row>
    <row r="11" spans="1:21" ht="17" customHeight="1" x14ac:dyDescent="0.35">
      <c r="A11" s="159">
        <v>10</v>
      </c>
      <c r="B11" s="143" t="s">
        <v>507</v>
      </c>
      <c r="C11" s="145">
        <v>1470000</v>
      </c>
      <c r="D11" s="143" t="s">
        <v>446</v>
      </c>
      <c r="E11" s="147" t="s">
        <v>447</v>
      </c>
      <c r="F11" s="143" t="s">
        <v>438</v>
      </c>
      <c r="G11" s="143" t="s">
        <v>551</v>
      </c>
      <c r="H11" s="143" t="s">
        <v>552</v>
      </c>
      <c r="I11" s="159" t="s">
        <v>441</v>
      </c>
      <c r="J11" s="159">
        <v>0.5</v>
      </c>
      <c r="K11" s="159">
        <v>2.75</v>
      </c>
      <c r="L11" s="157" t="s">
        <v>442</v>
      </c>
      <c r="M11" s="159" t="s">
        <v>548</v>
      </c>
      <c r="N11" s="143"/>
      <c r="O11" s="143"/>
      <c r="P11" s="146">
        <v>45229</v>
      </c>
      <c r="Q11" s="146">
        <v>46325</v>
      </c>
      <c r="R11" s="143"/>
      <c r="S11" s="143"/>
      <c r="T11" s="143"/>
      <c r="U11" s="143"/>
    </row>
    <row r="12" spans="1:21" ht="17" customHeight="1" x14ac:dyDescent="0.35">
      <c r="A12" s="159">
        <v>11</v>
      </c>
      <c r="B12" s="155" t="s">
        <v>508</v>
      </c>
      <c r="C12" s="145">
        <v>240000</v>
      </c>
      <c r="D12" s="155" t="s">
        <v>446</v>
      </c>
      <c r="E12" s="143" t="s">
        <v>447</v>
      </c>
      <c r="F12" s="143" t="s">
        <v>438</v>
      </c>
      <c r="G12" s="143" t="s">
        <v>439</v>
      </c>
      <c r="H12" s="143" t="s">
        <v>440</v>
      </c>
      <c r="I12" s="143" t="s">
        <v>441</v>
      </c>
      <c r="J12" s="159"/>
      <c r="K12" s="159"/>
      <c r="L12" s="157" t="s">
        <v>442</v>
      </c>
      <c r="M12" s="159" t="s">
        <v>548</v>
      </c>
      <c r="N12" s="143"/>
      <c r="O12" s="143"/>
      <c r="P12" s="146">
        <v>45642</v>
      </c>
      <c r="Q12" s="146">
        <v>46371</v>
      </c>
      <c r="R12" s="143"/>
      <c r="S12" s="143"/>
      <c r="T12" s="143"/>
      <c r="U12" s="143"/>
    </row>
    <row r="13" spans="1:21" ht="17" customHeight="1" x14ac:dyDescent="0.35">
      <c r="A13" s="159">
        <v>12</v>
      </c>
      <c r="B13" s="143" t="s">
        <v>509</v>
      </c>
      <c r="C13" s="145">
        <v>2300000</v>
      </c>
      <c r="D13" s="143" t="s">
        <v>446</v>
      </c>
      <c r="E13" s="143" t="s">
        <v>555</v>
      </c>
      <c r="F13" s="143" t="s">
        <v>550</v>
      </c>
      <c r="G13" s="143" t="s">
        <v>439</v>
      </c>
      <c r="H13" s="143" t="s">
        <v>552</v>
      </c>
      <c r="I13" s="143" t="s">
        <v>441</v>
      </c>
      <c r="J13" s="163">
        <v>1</v>
      </c>
      <c r="K13" s="163">
        <v>0</v>
      </c>
      <c r="L13" s="157" t="s">
        <v>442</v>
      </c>
      <c r="M13" s="159" t="s">
        <v>548</v>
      </c>
      <c r="N13" s="143"/>
      <c r="O13" s="143"/>
      <c r="P13" s="146">
        <v>45212</v>
      </c>
      <c r="Q13" s="146">
        <v>45945</v>
      </c>
      <c r="R13" s="143"/>
      <c r="S13" s="143"/>
      <c r="T13" s="143"/>
      <c r="U13" s="143"/>
    </row>
    <row r="14" spans="1:21" ht="17" customHeight="1" x14ac:dyDescent="0.35">
      <c r="A14" s="159">
        <v>13</v>
      </c>
      <c r="B14" s="147" t="s">
        <v>510</v>
      </c>
      <c r="C14" s="145">
        <v>52800</v>
      </c>
      <c r="D14" s="143" t="s">
        <v>437</v>
      </c>
      <c r="E14" s="147" t="s">
        <v>298</v>
      </c>
      <c r="F14" s="143" t="s">
        <v>438</v>
      </c>
      <c r="G14" s="143" t="s">
        <v>439</v>
      </c>
      <c r="H14" s="143" t="s">
        <v>440</v>
      </c>
      <c r="I14" s="159" t="s">
        <v>441</v>
      </c>
      <c r="J14" s="159"/>
      <c r="K14" s="159"/>
      <c r="L14" s="157" t="s">
        <v>442</v>
      </c>
      <c r="M14" s="159" t="s">
        <v>548</v>
      </c>
      <c r="N14" s="143"/>
      <c r="O14" s="143"/>
      <c r="P14" s="146">
        <v>45632</v>
      </c>
      <c r="Q14" s="146">
        <v>45838</v>
      </c>
      <c r="R14" s="143"/>
      <c r="S14" s="143"/>
      <c r="T14" s="143"/>
      <c r="U14" s="143"/>
    </row>
    <row r="15" spans="1:21" ht="17" customHeight="1" x14ac:dyDescent="0.35">
      <c r="A15" s="159">
        <v>14</v>
      </c>
      <c r="B15" s="143" t="s">
        <v>556</v>
      </c>
      <c r="C15" s="145">
        <v>1600000</v>
      </c>
      <c r="D15" s="143" t="s">
        <v>437</v>
      </c>
      <c r="E15" s="147" t="s">
        <v>298</v>
      </c>
      <c r="F15" s="143" t="s">
        <v>550</v>
      </c>
      <c r="G15" s="143" t="s">
        <v>546</v>
      </c>
      <c r="H15" s="143" t="s">
        <v>552</v>
      </c>
      <c r="I15" s="159" t="s">
        <v>441</v>
      </c>
      <c r="J15" s="159">
        <v>2.5</v>
      </c>
      <c r="K15" s="159">
        <v>1</v>
      </c>
      <c r="L15" s="157" t="s">
        <v>442</v>
      </c>
      <c r="M15" s="159" t="s">
        <v>548</v>
      </c>
      <c r="N15" s="143"/>
      <c r="O15" s="143"/>
      <c r="P15" s="146">
        <v>45016</v>
      </c>
      <c r="Q15" s="146">
        <v>46111</v>
      </c>
      <c r="R15" s="143"/>
      <c r="S15" s="143"/>
      <c r="T15" s="143"/>
      <c r="U15" s="143"/>
    </row>
    <row r="16" spans="1:21" ht="51" x14ac:dyDescent="0.35">
      <c r="A16" s="159">
        <v>15</v>
      </c>
      <c r="B16" s="144" t="s">
        <v>443</v>
      </c>
      <c r="C16" s="145">
        <v>78100</v>
      </c>
      <c r="D16" s="143" t="s">
        <v>437</v>
      </c>
      <c r="E16" s="147" t="s">
        <v>298</v>
      </c>
      <c r="F16" s="143" t="s">
        <v>438</v>
      </c>
      <c r="G16" s="143" t="s">
        <v>439</v>
      </c>
      <c r="H16" s="143" t="s">
        <v>440</v>
      </c>
      <c r="I16" s="159" t="s">
        <v>441</v>
      </c>
      <c r="J16" s="159">
        <v>0</v>
      </c>
      <c r="K16" s="159">
        <v>1</v>
      </c>
      <c r="L16" s="157" t="s">
        <v>442</v>
      </c>
      <c r="M16" s="159" t="s">
        <v>548</v>
      </c>
      <c r="N16" s="160" t="s">
        <v>580</v>
      </c>
      <c r="O16" s="160" t="s">
        <v>579</v>
      </c>
      <c r="P16" s="146">
        <v>45369</v>
      </c>
      <c r="Q16" s="164">
        <v>46098</v>
      </c>
      <c r="R16" s="164" t="s">
        <v>445</v>
      </c>
      <c r="S16" s="164" t="s">
        <v>452</v>
      </c>
      <c r="T16" s="25"/>
      <c r="U16" s="25"/>
    </row>
    <row r="17" spans="1:21" x14ac:dyDescent="0.35">
      <c r="A17" s="159">
        <v>16</v>
      </c>
      <c r="B17" s="144" t="s">
        <v>511</v>
      </c>
      <c r="C17" s="145">
        <v>325080</v>
      </c>
      <c r="D17" s="143" t="s">
        <v>437</v>
      </c>
      <c r="E17" s="147" t="s">
        <v>298</v>
      </c>
      <c r="F17" s="143" t="s">
        <v>550</v>
      </c>
      <c r="G17" s="143" t="s">
        <v>439</v>
      </c>
      <c r="H17" s="143" t="s">
        <v>440</v>
      </c>
      <c r="I17" s="159" t="s">
        <v>441</v>
      </c>
      <c r="J17" s="159"/>
      <c r="K17" s="159"/>
      <c r="L17" s="157" t="s">
        <v>442</v>
      </c>
      <c r="M17" s="159" t="s">
        <v>548</v>
      </c>
      <c r="N17" s="143" t="s">
        <v>581</v>
      </c>
      <c r="O17" s="143"/>
      <c r="P17" s="146">
        <v>45660</v>
      </c>
      <c r="Q17" s="146">
        <v>45869</v>
      </c>
      <c r="R17" s="143"/>
      <c r="S17" s="143"/>
      <c r="T17" s="143"/>
      <c r="U17" s="143"/>
    </row>
    <row r="18" spans="1:21" ht="17" customHeight="1" x14ac:dyDescent="0.35">
      <c r="A18" s="159">
        <v>17</v>
      </c>
      <c r="B18" s="147" t="s">
        <v>557</v>
      </c>
      <c r="C18" s="145">
        <v>105600</v>
      </c>
      <c r="D18" s="143" t="s">
        <v>437</v>
      </c>
      <c r="E18" s="147" t="s">
        <v>298</v>
      </c>
      <c r="F18" s="143" t="s">
        <v>438</v>
      </c>
      <c r="G18" s="143" t="s">
        <v>546</v>
      </c>
      <c r="H18" s="143" t="s">
        <v>440</v>
      </c>
      <c r="I18" s="159" t="s">
        <v>441</v>
      </c>
      <c r="J18" s="159">
        <v>0</v>
      </c>
      <c r="K18" s="159">
        <v>1.25</v>
      </c>
      <c r="L18" s="157" t="s">
        <v>442</v>
      </c>
      <c r="M18" s="159" t="s">
        <v>548</v>
      </c>
      <c r="N18" s="143"/>
      <c r="O18" s="146"/>
      <c r="P18" s="146">
        <v>45421</v>
      </c>
      <c r="Q18" s="146">
        <v>46162</v>
      </c>
      <c r="R18" s="143"/>
      <c r="S18" s="143"/>
      <c r="T18" s="143"/>
      <c r="U18" s="143"/>
    </row>
    <row r="19" spans="1:21" ht="17" customHeight="1" x14ac:dyDescent="0.35">
      <c r="A19" s="159">
        <v>18</v>
      </c>
      <c r="B19" s="143" t="s">
        <v>512</v>
      </c>
      <c r="C19" s="145">
        <v>107575.76</v>
      </c>
      <c r="D19" s="143" t="s">
        <v>437</v>
      </c>
      <c r="E19" s="147" t="s">
        <v>298</v>
      </c>
      <c r="F19" s="143" t="s">
        <v>438</v>
      </c>
      <c r="G19" s="143" t="s">
        <v>439</v>
      </c>
      <c r="H19" s="143" t="s">
        <v>440</v>
      </c>
      <c r="I19" s="159" t="s">
        <v>441</v>
      </c>
      <c r="J19" s="159">
        <v>0.25</v>
      </c>
      <c r="K19" s="159">
        <v>1.5</v>
      </c>
      <c r="L19" s="157" t="s">
        <v>442</v>
      </c>
      <c r="M19" s="159" t="s">
        <v>548</v>
      </c>
      <c r="N19" s="143"/>
      <c r="O19" s="143"/>
      <c r="P19" s="146">
        <v>45412</v>
      </c>
      <c r="Q19" s="146">
        <v>46141</v>
      </c>
      <c r="R19" s="143"/>
      <c r="S19" s="143"/>
      <c r="T19" s="143"/>
      <c r="U19" s="143"/>
    </row>
    <row r="20" spans="1:21" ht="17" customHeight="1" x14ac:dyDescent="0.35">
      <c r="A20" s="159">
        <v>19</v>
      </c>
      <c r="B20" s="147" t="s">
        <v>513</v>
      </c>
      <c r="C20" s="145">
        <v>78100</v>
      </c>
      <c r="D20" s="143" t="s">
        <v>437</v>
      </c>
      <c r="E20" s="147" t="s">
        <v>298</v>
      </c>
      <c r="F20" s="143" t="s">
        <v>438</v>
      </c>
      <c r="G20" s="143" t="s">
        <v>439</v>
      </c>
      <c r="H20" s="143" t="s">
        <v>440</v>
      </c>
      <c r="I20" s="159" t="s">
        <v>441</v>
      </c>
      <c r="J20" s="159">
        <v>0</v>
      </c>
      <c r="K20" s="159">
        <v>1</v>
      </c>
      <c r="L20" s="157" t="s">
        <v>442</v>
      </c>
      <c r="M20" s="159" t="s">
        <v>548</v>
      </c>
      <c r="N20" s="143"/>
      <c r="O20" s="143" t="s">
        <v>55</v>
      </c>
      <c r="P20" s="146">
        <v>45412</v>
      </c>
      <c r="Q20" s="146">
        <v>46141</v>
      </c>
      <c r="R20" s="143"/>
      <c r="S20" s="143"/>
      <c r="T20" s="143"/>
      <c r="U20" s="143"/>
    </row>
    <row r="21" spans="1:21" ht="17" customHeight="1" x14ac:dyDescent="0.35">
      <c r="A21" s="159">
        <v>20</v>
      </c>
      <c r="B21" s="147" t="s">
        <v>514</v>
      </c>
      <c r="C21" s="145">
        <v>91300</v>
      </c>
      <c r="D21" s="143" t="s">
        <v>437</v>
      </c>
      <c r="E21" s="147" t="s">
        <v>298</v>
      </c>
      <c r="F21" s="143" t="s">
        <v>438</v>
      </c>
      <c r="G21" s="143" t="s">
        <v>439</v>
      </c>
      <c r="H21" s="143" t="s">
        <v>440</v>
      </c>
      <c r="I21" s="159" t="s">
        <v>441</v>
      </c>
      <c r="J21" s="159">
        <v>0</v>
      </c>
      <c r="K21" s="159">
        <v>1</v>
      </c>
      <c r="L21" s="157" t="s">
        <v>442</v>
      </c>
      <c r="M21" s="159" t="s">
        <v>548</v>
      </c>
      <c r="N21" s="143" t="s">
        <v>558</v>
      </c>
      <c r="O21" s="143" t="s">
        <v>583</v>
      </c>
      <c r="P21" s="146">
        <v>45369</v>
      </c>
      <c r="Q21" s="146">
        <v>46100</v>
      </c>
      <c r="R21" s="143"/>
      <c r="S21" s="143"/>
      <c r="T21" s="143"/>
      <c r="U21" s="143"/>
    </row>
    <row r="22" spans="1:21" ht="17" customHeight="1" x14ac:dyDescent="0.35">
      <c r="A22" s="159">
        <v>21</v>
      </c>
      <c r="B22" s="147" t="s">
        <v>515</v>
      </c>
      <c r="C22" s="145">
        <v>78100</v>
      </c>
      <c r="D22" s="143" t="s">
        <v>437</v>
      </c>
      <c r="E22" s="147" t="s">
        <v>298</v>
      </c>
      <c r="F22" s="143" t="s">
        <v>438</v>
      </c>
      <c r="G22" s="143" t="s">
        <v>439</v>
      </c>
      <c r="H22" s="143" t="s">
        <v>440</v>
      </c>
      <c r="I22" s="159" t="s">
        <v>441</v>
      </c>
      <c r="J22" s="159">
        <v>0</v>
      </c>
      <c r="K22" s="159">
        <v>1</v>
      </c>
      <c r="L22" s="157" t="s">
        <v>442</v>
      </c>
      <c r="M22" s="159" t="s">
        <v>548</v>
      </c>
      <c r="N22" s="143"/>
      <c r="O22" s="143" t="s">
        <v>346</v>
      </c>
      <c r="P22" s="146">
        <v>45497</v>
      </c>
      <c r="Q22" s="146">
        <v>46226</v>
      </c>
      <c r="R22" s="143"/>
      <c r="S22" s="143"/>
      <c r="T22" s="143"/>
      <c r="U22" s="143"/>
    </row>
    <row r="23" spans="1:21" ht="17" customHeight="1" x14ac:dyDescent="0.35">
      <c r="A23" s="159">
        <v>22</v>
      </c>
      <c r="B23" s="143" t="s">
        <v>559</v>
      </c>
      <c r="C23" s="145">
        <v>81000</v>
      </c>
      <c r="D23" s="143" t="s">
        <v>437</v>
      </c>
      <c r="E23" s="147" t="s">
        <v>298</v>
      </c>
      <c r="F23" s="143" t="s">
        <v>438</v>
      </c>
      <c r="G23" s="143" t="s">
        <v>546</v>
      </c>
      <c r="H23" s="143" t="s">
        <v>547</v>
      </c>
      <c r="I23" s="159" t="s">
        <v>441</v>
      </c>
      <c r="J23" s="159">
        <v>0.25</v>
      </c>
      <c r="K23" s="159">
        <v>1</v>
      </c>
      <c r="L23" s="157" t="s">
        <v>442</v>
      </c>
      <c r="M23" s="159" t="s">
        <v>548</v>
      </c>
      <c r="N23" s="143"/>
      <c r="O23" s="143"/>
      <c r="P23" s="146">
        <v>45310</v>
      </c>
      <c r="Q23" s="146">
        <v>46318</v>
      </c>
      <c r="R23" s="143"/>
      <c r="S23" s="143"/>
      <c r="T23" s="143"/>
      <c r="U23" s="143"/>
    </row>
    <row r="24" spans="1:21" ht="17" customHeight="1" x14ac:dyDescent="0.35">
      <c r="A24" s="159">
        <v>23</v>
      </c>
      <c r="B24" s="143" t="s">
        <v>516</v>
      </c>
      <c r="C24" s="145">
        <v>108325</v>
      </c>
      <c r="D24" s="143" t="s">
        <v>437</v>
      </c>
      <c r="E24" s="147" t="s">
        <v>298</v>
      </c>
      <c r="F24" s="143" t="s">
        <v>550</v>
      </c>
      <c r="G24" s="143" t="s">
        <v>551</v>
      </c>
      <c r="H24" s="143" t="s">
        <v>547</v>
      </c>
      <c r="I24" s="159" t="s">
        <v>441</v>
      </c>
      <c r="J24" s="159">
        <v>1.5</v>
      </c>
      <c r="K24" s="159">
        <v>0</v>
      </c>
      <c r="L24" s="157" t="s">
        <v>442</v>
      </c>
      <c r="M24" s="159" t="s">
        <v>548</v>
      </c>
      <c r="N24" s="143"/>
      <c r="O24" s="143" t="s">
        <v>584</v>
      </c>
      <c r="P24" s="146">
        <v>45072</v>
      </c>
      <c r="Q24" s="146">
        <v>45807</v>
      </c>
      <c r="R24" s="143"/>
      <c r="S24" s="143"/>
      <c r="T24" s="143"/>
      <c r="U24" s="143"/>
    </row>
    <row r="25" spans="1:21" ht="14.5" customHeight="1" x14ac:dyDescent="0.35">
      <c r="A25" s="159">
        <v>24</v>
      </c>
      <c r="B25" s="143" t="s">
        <v>517</v>
      </c>
      <c r="C25" s="145">
        <v>115500</v>
      </c>
      <c r="D25" s="143" t="s">
        <v>437</v>
      </c>
      <c r="E25" s="147" t="s">
        <v>298</v>
      </c>
      <c r="F25" s="143" t="s">
        <v>550</v>
      </c>
      <c r="G25" s="143" t="s">
        <v>439</v>
      </c>
      <c r="H25" s="143" t="s">
        <v>552</v>
      </c>
      <c r="I25" s="159" t="s">
        <v>441</v>
      </c>
      <c r="J25" s="159">
        <v>1</v>
      </c>
      <c r="K25" s="159">
        <v>0</v>
      </c>
      <c r="L25" s="157" t="s">
        <v>442</v>
      </c>
      <c r="M25" s="159" t="s">
        <v>548</v>
      </c>
      <c r="N25" s="143"/>
      <c r="O25" s="143" t="s">
        <v>585</v>
      </c>
      <c r="P25" s="146">
        <v>45127</v>
      </c>
      <c r="Q25" s="146">
        <v>45857</v>
      </c>
      <c r="R25" s="143"/>
      <c r="S25" s="143"/>
      <c r="T25" s="143"/>
      <c r="U25" s="143"/>
    </row>
    <row r="26" spans="1:21" ht="14.5" customHeight="1" x14ac:dyDescent="0.35">
      <c r="A26" s="159">
        <v>25</v>
      </c>
      <c r="B26" s="156" t="s">
        <v>518</v>
      </c>
      <c r="C26" s="145">
        <v>1300000</v>
      </c>
      <c r="D26" s="156" t="s">
        <v>560</v>
      </c>
      <c r="E26" s="156" t="s">
        <v>255</v>
      </c>
      <c r="F26" s="143" t="s">
        <v>438</v>
      </c>
      <c r="G26" s="143" t="s">
        <v>439</v>
      </c>
      <c r="H26" s="143" t="s">
        <v>547</v>
      </c>
      <c r="I26" s="159" t="s">
        <v>441</v>
      </c>
      <c r="J26" s="159">
        <v>1.5</v>
      </c>
      <c r="K26" s="159">
        <v>6</v>
      </c>
      <c r="L26" s="157" t="s">
        <v>442</v>
      </c>
      <c r="M26" s="159" t="s">
        <v>548</v>
      </c>
      <c r="N26" s="143"/>
      <c r="O26" s="143"/>
      <c r="P26" s="146">
        <v>45253</v>
      </c>
      <c r="Q26" s="146">
        <v>46349</v>
      </c>
      <c r="R26" s="143"/>
      <c r="S26" s="143"/>
      <c r="T26" s="143"/>
      <c r="U26" s="143"/>
    </row>
    <row r="27" spans="1:21" ht="14.5" customHeight="1" x14ac:dyDescent="0.35">
      <c r="A27" s="159">
        <v>26</v>
      </c>
      <c r="B27" s="143" t="s">
        <v>519</v>
      </c>
      <c r="C27" s="145">
        <v>319550</v>
      </c>
      <c r="D27" s="156" t="s">
        <v>560</v>
      </c>
      <c r="E27" s="147" t="s">
        <v>255</v>
      </c>
      <c r="F27" s="143" t="s">
        <v>550</v>
      </c>
      <c r="G27" s="143" t="s">
        <v>551</v>
      </c>
      <c r="H27" s="143" t="s">
        <v>552</v>
      </c>
      <c r="I27" s="159" t="s">
        <v>441</v>
      </c>
      <c r="J27" s="159">
        <v>0.25</v>
      </c>
      <c r="K27" s="159">
        <v>4.25</v>
      </c>
      <c r="L27" s="157" t="s">
        <v>442</v>
      </c>
      <c r="M27" s="159" t="s">
        <v>548</v>
      </c>
      <c r="N27" s="143"/>
      <c r="O27" s="143"/>
      <c r="P27" s="146">
        <v>45168</v>
      </c>
      <c r="Q27" s="146">
        <v>45899</v>
      </c>
      <c r="R27" s="143"/>
      <c r="S27" s="143"/>
      <c r="T27" s="143"/>
      <c r="U27" s="143"/>
    </row>
    <row r="28" spans="1:21" ht="17" customHeight="1" x14ac:dyDescent="0.35">
      <c r="A28" s="159">
        <v>27</v>
      </c>
      <c r="B28" s="143" t="s">
        <v>520</v>
      </c>
      <c r="C28" s="145">
        <v>1600000</v>
      </c>
      <c r="D28" s="156" t="s">
        <v>560</v>
      </c>
      <c r="E28" s="147" t="s">
        <v>255</v>
      </c>
      <c r="F28" s="143" t="s">
        <v>438</v>
      </c>
      <c r="G28" s="143" t="s">
        <v>551</v>
      </c>
      <c r="H28" s="143" t="s">
        <v>552</v>
      </c>
      <c r="I28" s="159" t="s">
        <v>441</v>
      </c>
      <c r="J28" s="159"/>
      <c r="K28" s="159"/>
      <c r="L28" s="157" t="s">
        <v>442</v>
      </c>
      <c r="M28" s="159" t="s">
        <v>548</v>
      </c>
      <c r="N28" s="143"/>
      <c r="O28" s="164"/>
      <c r="P28" s="146">
        <v>45748</v>
      </c>
      <c r="Q28" s="146">
        <v>46295</v>
      </c>
      <c r="R28" s="143"/>
      <c r="S28" s="143"/>
      <c r="T28" s="143"/>
      <c r="U28" s="143"/>
    </row>
    <row r="29" spans="1:21" ht="17" customHeight="1" x14ac:dyDescent="0.35">
      <c r="A29" s="159">
        <v>28</v>
      </c>
      <c r="B29" s="143" t="s">
        <v>521</v>
      </c>
      <c r="C29" s="145">
        <v>35345</v>
      </c>
      <c r="D29" s="143" t="s">
        <v>561</v>
      </c>
      <c r="E29" s="147" t="s">
        <v>562</v>
      </c>
      <c r="F29" s="143" t="s">
        <v>550</v>
      </c>
      <c r="G29" s="143" t="s">
        <v>551</v>
      </c>
      <c r="H29" s="143" t="s">
        <v>552</v>
      </c>
      <c r="I29" s="159" t="s">
        <v>441</v>
      </c>
      <c r="J29" s="159">
        <v>0.25</v>
      </c>
      <c r="K29" s="159">
        <v>2</v>
      </c>
      <c r="L29" s="157" t="s">
        <v>442</v>
      </c>
      <c r="M29" s="159" t="s">
        <v>548</v>
      </c>
      <c r="N29" s="143"/>
      <c r="O29" s="143"/>
      <c r="P29" s="146">
        <v>45258</v>
      </c>
      <c r="Q29" s="146">
        <v>46353</v>
      </c>
      <c r="R29" s="143"/>
      <c r="S29" s="143"/>
      <c r="T29" s="143"/>
      <c r="U29" s="143"/>
    </row>
    <row r="30" spans="1:21" ht="17" customHeight="1" x14ac:dyDescent="0.35">
      <c r="A30" s="159">
        <v>29</v>
      </c>
      <c r="B30" s="143" t="s">
        <v>563</v>
      </c>
      <c r="C30" s="145">
        <v>136000</v>
      </c>
      <c r="D30" s="155" t="s">
        <v>446</v>
      </c>
      <c r="E30" s="143" t="s">
        <v>447</v>
      </c>
      <c r="F30" s="143" t="s">
        <v>438</v>
      </c>
      <c r="G30" s="143" t="s">
        <v>546</v>
      </c>
      <c r="H30" s="143" t="s">
        <v>547</v>
      </c>
      <c r="I30" s="159" t="s">
        <v>441</v>
      </c>
      <c r="J30" s="159">
        <v>0</v>
      </c>
      <c r="K30" s="159">
        <v>1.25</v>
      </c>
      <c r="L30" s="157" t="s">
        <v>442</v>
      </c>
      <c r="M30" s="159" t="s">
        <v>548</v>
      </c>
      <c r="N30" s="143"/>
      <c r="O30" s="143"/>
      <c r="P30" s="146">
        <v>44865</v>
      </c>
      <c r="Q30" s="146">
        <v>45869</v>
      </c>
      <c r="R30" s="143"/>
      <c r="S30" s="143"/>
      <c r="T30" s="143"/>
      <c r="U30" s="143"/>
    </row>
    <row r="31" spans="1:21" ht="13.5" customHeight="1" x14ac:dyDescent="0.35">
      <c r="A31" s="159">
        <v>30</v>
      </c>
      <c r="B31" s="143" t="s">
        <v>564</v>
      </c>
      <c r="C31" s="145">
        <v>76000</v>
      </c>
      <c r="D31" s="155" t="s">
        <v>446</v>
      </c>
      <c r="E31" s="143" t="s">
        <v>447</v>
      </c>
      <c r="F31" s="143" t="s">
        <v>438</v>
      </c>
      <c r="G31" s="143" t="s">
        <v>546</v>
      </c>
      <c r="H31" s="143" t="s">
        <v>547</v>
      </c>
      <c r="I31" s="159" t="s">
        <v>441</v>
      </c>
      <c r="J31" s="159">
        <v>0.25</v>
      </c>
      <c r="K31" s="159">
        <v>1.5</v>
      </c>
      <c r="L31" s="157" t="s">
        <v>442</v>
      </c>
      <c r="M31" s="159" t="s">
        <v>548</v>
      </c>
      <c r="N31" s="143"/>
      <c r="O31" s="143"/>
      <c r="P31" s="146">
        <v>45108</v>
      </c>
      <c r="Q31" s="146">
        <v>46204</v>
      </c>
      <c r="R31" s="143"/>
      <c r="S31" s="143"/>
      <c r="T31" s="143"/>
      <c r="U31" s="143"/>
    </row>
    <row r="32" spans="1:21" ht="17" customHeight="1" x14ac:dyDescent="0.35">
      <c r="A32" s="159">
        <v>31</v>
      </c>
      <c r="B32" s="143" t="s">
        <v>522</v>
      </c>
      <c r="C32" s="145">
        <v>4800</v>
      </c>
      <c r="D32" s="155" t="s">
        <v>446</v>
      </c>
      <c r="E32" s="143" t="s">
        <v>447</v>
      </c>
      <c r="F32" s="143" t="s">
        <v>438</v>
      </c>
      <c r="G32" s="143" t="s">
        <v>439</v>
      </c>
      <c r="H32" s="143" t="s">
        <v>440</v>
      </c>
      <c r="I32" s="159" t="s">
        <v>441</v>
      </c>
      <c r="J32" s="159"/>
      <c r="K32" s="159"/>
      <c r="L32" s="157" t="s">
        <v>442</v>
      </c>
      <c r="M32" s="159" t="s">
        <v>548</v>
      </c>
      <c r="N32" s="143"/>
      <c r="O32" s="143"/>
      <c r="P32" s="146">
        <v>45591</v>
      </c>
      <c r="Q32" s="146">
        <v>45972</v>
      </c>
      <c r="R32" s="143"/>
      <c r="S32" s="143"/>
      <c r="T32" s="143"/>
      <c r="U32" s="143"/>
    </row>
    <row r="33" spans="1:21" ht="17" customHeight="1" x14ac:dyDescent="0.25">
      <c r="A33" s="159">
        <v>32</v>
      </c>
      <c r="B33" s="143" t="s">
        <v>523</v>
      </c>
      <c r="C33" s="145">
        <v>2500000</v>
      </c>
      <c r="D33" s="155" t="s">
        <v>446</v>
      </c>
      <c r="E33" s="143" t="s">
        <v>565</v>
      </c>
      <c r="F33" s="143" t="s">
        <v>438</v>
      </c>
      <c r="G33" s="143" t="s">
        <v>551</v>
      </c>
      <c r="H33" s="143" t="s">
        <v>547</v>
      </c>
      <c r="I33" s="159" t="s">
        <v>441</v>
      </c>
      <c r="J33" s="165"/>
      <c r="K33" s="165"/>
      <c r="L33" s="157" t="s">
        <v>442</v>
      </c>
      <c r="M33" s="159" t="s">
        <v>548</v>
      </c>
      <c r="N33" s="143"/>
      <c r="O33" s="143"/>
      <c r="P33" s="146">
        <v>45463</v>
      </c>
      <c r="Q33" s="146">
        <v>46200</v>
      </c>
      <c r="R33" s="143"/>
      <c r="S33" s="143"/>
      <c r="T33" s="143"/>
      <c r="U33" s="143"/>
    </row>
    <row r="34" spans="1:21" ht="17" customHeight="1" x14ac:dyDescent="0.35">
      <c r="A34" s="159">
        <v>33</v>
      </c>
      <c r="B34" s="143" t="s">
        <v>586</v>
      </c>
      <c r="C34" s="145">
        <v>54199</v>
      </c>
      <c r="D34" s="155" t="s">
        <v>446</v>
      </c>
      <c r="E34" s="143" t="s">
        <v>555</v>
      </c>
      <c r="F34" s="143" t="s">
        <v>438</v>
      </c>
      <c r="G34" s="143" t="s">
        <v>551</v>
      </c>
      <c r="H34" s="143" t="s">
        <v>547</v>
      </c>
      <c r="I34" s="159" t="s">
        <v>441</v>
      </c>
      <c r="J34" s="159"/>
      <c r="K34" s="159"/>
      <c r="L34" s="157" t="s">
        <v>442</v>
      </c>
      <c r="M34" s="159" t="s">
        <v>548</v>
      </c>
      <c r="N34" s="143"/>
      <c r="O34" s="143"/>
      <c r="P34" s="146">
        <v>45503</v>
      </c>
      <c r="Q34" s="146">
        <v>46232</v>
      </c>
      <c r="R34" s="143"/>
      <c r="S34" s="143"/>
      <c r="T34" s="143"/>
      <c r="U34" s="143"/>
    </row>
    <row r="35" spans="1:21" ht="17" customHeight="1" x14ac:dyDescent="0.35">
      <c r="A35" s="159">
        <v>34</v>
      </c>
      <c r="B35" s="143" t="s">
        <v>524</v>
      </c>
      <c r="C35" s="145">
        <v>150000</v>
      </c>
      <c r="D35" s="155" t="s">
        <v>446</v>
      </c>
      <c r="E35" s="143" t="s">
        <v>447</v>
      </c>
      <c r="F35" s="143" t="s">
        <v>550</v>
      </c>
      <c r="G35" s="143" t="s">
        <v>439</v>
      </c>
      <c r="H35" s="143" t="s">
        <v>552</v>
      </c>
      <c r="I35" s="159" t="s">
        <v>441</v>
      </c>
      <c r="J35" s="157"/>
      <c r="K35" s="159"/>
      <c r="L35" s="157" t="s">
        <v>442</v>
      </c>
      <c r="M35" s="159" t="s">
        <v>548</v>
      </c>
      <c r="N35" s="143"/>
      <c r="O35" s="143"/>
      <c r="P35" s="146">
        <v>45230</v>
      </c>
      <c r="Q35" s="146">
        <v>45960</v>
      </c>
      <c r="R35" s="143"/>
      <c r="S35" s="143"/>
      <c r="T35" s="143"/>
      <c r="U35" s="143"/>
    </row>
    <row r="36" spans="1:21" ht="17" customHeight="1" x14ac:dyDescent="0.35">
      <c r="A36" s="159">
        <v>35</v>
      </c>
      <c r="B36" s="143" t="s">
        <v>525</v>
      </c>
      <c r="C36" s="145">
        <v>115200</v>
      </c>
      <c r="D36" s="155" t="s">
        <v>446</v>
      </c>
      <c r="E36" s="143" t="s">
        <v>549</v>
      </c>
      <c r="F36" s="143" t="s">
        <v>438</v>
      </c>
      <c r="G36" s="143" t="s">
        <v>439</v>
      </c>
      <c r="H36" s="143" t="s">
        <v>440</v>
      </c>
      <c r="I36" s="159" t="s">
        <v>441</v>
      </c>
      <c r="J36" s="157" t="s">
        <v>442</v>
      </c>
      <c r="K36" s="159" t="s">
        <v>548</v>
      </c>
      <c r="L36" s="157" t="s">
        <v>442</v>
      </c>
      <c r="M36" s="159" t="s">
        <v>548</v>
      </c>
      <c r="N36" s="146"/>
      <c r="O36" s="146"/>
      <c r="P36" s="146">
        <v>45688</v>
      </c>
      <c r="Q36" s="146">
        <v>46417</v>
      </c>
      <c r="R36" s="143"/>
      <c r="S36" s="143"/>
      <c r="T36" s="143"/>
      <c r="U36" s="143"/>
    </row>
    <row r="37" spans="1:21" ht="17" customHeight="1" x14ac:dyDescent="0.35">
      <c r="A37" s="159">
        <v>36</v>
      </c>
      <c r="B37" s="143" t="s">
        <v>526</v>
      </c>
      <c r="C37" s="145">
        <v>76800</v>
      </c>
      <c r="D37" s="155" t="s">
        <v>446</v>
      </c>
      <c r="E37" s="143" t="s">
        <v>549</v>
      </c>
      <c r="F37" s="143" t="s">
        <v>438</v>
      </c>
      <c r="G37" s="143" t="s">
        <v>439</v>
      </c>
      <c r="H37" s="143" t="s">
        <v>440</v>
      </c>
      <c r="I37" s="159" t="s">
        <v>441</v>
      </c>
      <c r="J37" s="157"/>
      <c r="K37" s="159"/>
      <c r="L37" s="157" t="s">
        <v>442</v>
      </c>
      <c r="M37" s="159" t="s">
        <v>548</v>
      </c>
      <c r="N37" s="146"/>
      <c r="O37" s="146"/>
      <c r="P37" s="146">
        <v>45688</v>
      </c>
      <c r="Q37" s="146">
        <v>46417</v>
      </c>
      <c r="R37" s="143"/>
      <c r="S37" s="143"/>
      <c r="T37" s="143"/>
      <c r="U37" s="143"/>
    </row>
    <row r="38" spans="1:21" ht="17" customHeight="1" x14ac:dyDescent="0.35">
      <c r="A38" s="159">
        <v>37</v>
      </c>
      <c r="B38" s="143" t="s">
        <v>527</v>
      </c>
      <c r="C38" s="145">
        <v>170855</v>
      </c>
      <c r="D38" s="155" t="s">
        <v>560</v>
      </c>
      <c r="E38" s="143" t="s">
        <v>566</v>
      </c>
      <c r="F38" s="143" t="s">
        <v>438</v>
      </c>
      <c r="G38" s="143" t="s">
        <v>551</v>
      </c>
      <c r="H38" s="143" t="s">
        <v>552</v>
      </c>
      <c r="I38" s="159" t="s">
        <v>441</v>
      </c>
      <c r="J38" s="157"/>
      <c r="K38" s="159"/>
      <c r="L38" s="157" t="s">
        <v>442</v>
      </c>
      <c r="M38" s="159" t="s">
        <v>548</v>
      </c>
      <c r="N38" s="146"/>
      <c r="O38" s="146"/>
      <c r="P38" s="146">
        <v>45229</v>
      </c>
      <c r="Q38" s="146">
        <v>46325</v>
      </c>
      <c r="R38" s="143"/>
      <c r="S38" s="143"/>
      <c r="T38" s="143"/>
      <c r="U38" s="143"/>
    </row>
    <row r="39" spans="1:21" ht="12.5" customHeight="1" x14ac:dyDescent="0.35">
      <c r="A39" s="159">
        <v>38</v>
      </c>
      <c r="B39" s="143" t="s">
        <v>528</v>
      </c>
      <c r="C39" s="145">
        <v>39840</v>
      </c>
      <c r="D39" s="155" t="s">
        <v>446</v>
      </c>
      <c r="E39" s="143" t="s">
        <v>447</v>
      </c>
      <c r="F39" s="143" t="s">
        <v>438</v>
      </c>
      <c r="G39" s="143" t="s">
        <v>551</v>
      </c>
      <c r="H39" s="143" t="s">
        <v>552</v>
      </c>
      <c r="I39" s="159" t="s">
        <v>441</v>
      </c>
      <c r="J39" s="157"/>
      <c r="K39" s="159"/>
      <c r="L39" s="157" t="s">
        <v>442</v>
      </c>
      <c r="M39" s="159" t="s">
        <v>548</v>
      </c>
      <c r="N39" s="146"/>
      <c r="O39" s="146"/>
      <c r="P39" s="146">
        <v>45229</v>
      </c>
      <c r="Q39" s="146">
        <v>46325</v>
      </c>
      <c r="R39" s="143"/>
      <c r="S39" s="143"/>
      <c r="T39" s="143"/>
      <c r="U39" s="143"/>
    </row>
    <row r="40" spans="1:21" x14ac:dyDescent="0.35">
      <c r="A40" s="159">
        <v>39</v>
      </c>
      <c r="B40" s="143" t="s">
        <v>529</v>
      </c>
      <c r="C40" s="145">
        <v>99641</v>
      </c>
      <c r="D40" s="155" t="s">
        <v>446</v>
      </c>
      <c r="E40" s="143" t="s">
        <v>447</v>
      </c>
      <c r="F40" s="143" t="s">
        <v>550</v>
      </c>
      <c r="G40" s="143" t="s">
        <v>551</v>
      </c>
      <c r="H40" s="143" t="s">
        <v>547</v>
      </c>
      <c r="I40" s="159" t="s">
        <v>441</v>
      </c>
      <c r="J40" s="157"/>
      <c r="K40" s="159"/>
      <c r="L40" s="157" t="s">
        <v>442</v>
      </c>
      <c r="M40" s="159" t="s">
        <v>548</v>
      </c>
      <c r="N40" s="146"/>
      <c r="O40" s="146"/>
      <c r="P40" s="146">
        <v>45646</v>
      </c>
      <c r="Q40" s="146">
        <v>46375</v>
      </c>
      <c r="R40" s="143"/>
      <c r="S40" s="143"/>
      <c r="T40" s="143"/>
      <c r="U40" s="143"/>
    </row>
    <row r="41" spans="1:21" ht="12.5" customHeight="1" x14ac:dyDescent="0.35">
      <c r="A41" s="159">
        <v>40</v>
      </c>
      <c r="B41" s="143" t="s">
        <v>530</v>
      </c>
      <c r="C41" s="145">
        <v>328367</v>
      </c>
      <c r="D41" s="155" t="s">
        <v>446</v>
      </c>
      <c r="E41" s="143" t="s">
        <v>447</v>
      </c>
      <c r="F41" s="143" t="s">
        <v>550</v>
      </c>
      <c r="G41" s="143" t="s">
        <v>439</v>
      </c>
      <c r="H41" s="143" t="s">
        <v>547</v>
      </c>
      <c r="I41" s="159" t="s">
        <v>441</v>
      </c>
      <c r="J41" s="157"/>
      <c r="K41" s="159"/>
      <c r="L41" s="157" t="s">
        <v>442</v>
      </c>
      <c r="M41" s="159" t="s">
        <v>548</v>
      </c>
      <c r="N41" s="146"/>
      <c r="O41" s="146"/>
      <c r="P41" s="146">
        <v>45685</v>
      </c>
      <c r="Q41" s="146">
        <v>46416</v>
      </c>
      <c r="R41" s="143"/>
      <c r="S41" s="143"/>
      <c r="T41" s="143"/>
      <c r="U41" s="143"/>
    </row>
    <row r="42" spans="1:21" ht="12.5" customHeight="1" x14ac:dyDescent="0.35">
      <c r="A42" s="159">
        <v>41</v>
      </c>
      <c r="B42" s="143" t="s">
        <v>531</v>
      </c>
      <c r="C42" s="145">
        <v>273810</v>
      </c>
      <c r="D42" s="155" t="s">
        <v>446</v>
      </c>
      <c r="E42" s="143" t="s">
        <v>447</v>
      </c>
      <c r="F42" s="143" t="s">
        <v>438</v>
      </c>
      <c r="G42" s="143" t="s">
        <v>551</v>
      </c>
      <c r="H42" s="143" t="s">
        <v>547</v>
      </c>
      <c r="I42" s="159" t="s">
        <v>441</v>
      </c>
      <c r="J42" s="157"/>
      <c r="K42" s="159"/>
      <c r="L42" s="157" t="s">
        <v>442</v>
      </c>
      <c r="M42" s="159" t="s">
        <v>548</v>
      </c>
      <c r="N42" s="146" t="s">
        <v>567</v>
      </c>
      <c r="O42" s="146"/>
      <c r="P42" s="146">
        <v>45734</v>
      </c>
      <c r="Q42" s="146">
        <v>46099</v>
      </c>
      <c r="R42" s="143"/>
      <c r="S42" s="143"/>
      <c r="T42" s="143"/>
      <c r="U42" s="143"/>
    </row>
    <row r="43" spans="1:21" ht="12.5" customHeight="1" x14ac:dyDescent="0.35">
      <c r="A43" s="159">
        <v>42</v>
      </c>
      <c r="B43" s="143" t="s">
        <v>532</v>
      </c>
      <c r="C43" s="145">
        <v>278029</v>
      </c>
      <c r="D43" s="155" t="s">
        <v>446</v>
      </c>
      <c r="E43" s="143" t="s">
        <v>447</v>
      </c>
      <c r="F43" s="143" t="s">
        <v>438</v>
      </c>
      <c r="G43" s="143" t="s">
        <v>551</v>
      </c>
      <c r="H43" s="143" t="s">
        <v>547</v>
      </c>
      <c r="I43" s="159" t="s">
        <v>441</v>
      </c>
      <c r="J43" s="157"/>
      <c r="K43" s="159"/>
      <c r="L43" s="157" t="s">
        <v>442</v>
      </c>
      <c r="M43" s="159" t="s">
        <v>548</v>
      </c>
      <c r="N43" s="146" t="s">
        <v>567</v>
      </c>
      <c r="O43" s="146"/>
      <c r="P43" s="146">
        <v>45734</v>
      </c>
      <c r="Q43" s="146">
        <v>46464</v>
      </c>
      <c r="R43" s="143"/>
      <c r="S43" s="143"/>
      <c r="T43" s="143"/>
      <c r="U43" s="143"/>
    </row>
    <row r="44" spans="1:21" ht="12.5" customHeight="1" x14ac:dyDescent="0.35">
      <c r="A44" s="159">
        <v>43</v>
      </c>
      <c r="B44" s="143" t="s">
        <v>533</v>
      </c>
      <c r="C44" s="145">
        <v>537150</v>
      </c>
      <c r="D44" s="155" t="s">
        <v>446</v>
      </c>
      <c r="E44" s="143" t="s">
        <v>447</v>
      </c>
      <c r="F44" s="143" t="s">
        <v>550</v>
      </c>
      <c r="G44" s="143" t="s">
        <v>551</v>
      </c>
      <c r="H44" s="143" t="s">
        <v>547</v>
      </c>
      <c r="I44" s="159" t="s">
        <v>441</v>
      </c>
      <c r="J44" s="157"/>
      <c r="K44" s="159"/>
      <c r="L44" s="157" t="s">
        <v>442</v>
      </c>
      <c r="M44" s="159" t="s">
        <v>548</v>
      </c>
      <c r="N44" s="146"/>
      <c r="O44" s="146"/>
      <c r="P44" s="146">
        <v>45687</v>
      </c>
      <c r="Q44" s="146">
        <v>46417</v>
      </c>
      <c r="R44" s="143"/>
      <c r="S44" s="143"/>
      <c r="T44" s="143"/>
      <c r="U44" s="143"/>
    </row>
    <row r="45" spans="1:21" ht="12.5" customHeight="1" x14ac:dyDescent="0.35">
      <c r="A45" s="159">
        <v>44</v>
      </c>
      <c r="B45" s="143" t="s">
        <v>534</v>
      </c>
      <c r="C45" s="145">
        <v>100000</v>
      </c>
      <c r="D45" s="155" t="s">
        <v>446</v>
      </c>
      <c r="E45" s="143" t="s">
        <v>447</v>
      </c>
      <c r="F45" s="143" t="s">
        <v>550</v>
      </c>
      <c r="G45" s="143" t="s">
        <v>551</v>
      </c>
      <c r="H45" s="143" t="s">
        <v>552</v>
      </c>
      <c r="I45" s="159" t="s">
        <v>441</v>
      </c>
      <c r="J45" s="157" t="s">
        <v>442</v>
      </c>
      <c r="K45" s="159" t="s">
        <v>548</v>
      </c>
      <c r="L45" s="157" t="s">
        <v>442</v>
      </c>
      <c r="M45" s="159" t="s">
        <v>548</v>
      </c>
      <c r="N45" s="146"/>
      <c r="O45" s="146"/>
      <c r="P45" s="146">
        <v>45685</v>
      </c>
      <c r="Q45" s="146">
        <v>46049</v>
      </c>
      <c r="R45" s="143"/>
      <c r="S45" s="143"/>
      <c r="T45" s="143"/>
      <c r="U45" s="143"/>
    </row>
    <row r="46" spans="1:21" x14ac:dyDescent="0.35">
      <c r="A46" s="159">
        <v>45</v>
      </c>
      <c r="B46" s="143" t="s">
        <v>535</v>
      </c>
      <c r="C46" s="145">
        <v>82540</v>
      </c>
      <c r="D46" s="155" t="s">
        <v>446</v>
      </c>
      <c r="E46" s="143" t="s">
        <v>447</v>
      </c>
      <c r="F46" s="143" t="s">
        <v>550</v>
      </c>
      <c r="G46" s="143" t="s">
        <v>551</v>
      </c>
      <c r="H46" s="143" t="s">
        <v>547</v>
      </c>
      <c r="I46" s="159" t="s">
        <v>441</v>
      </c>
      <c r="J46" s="159"/>
      <c r="K46" s="159"/>
      <c r="L46" s="157" t="s">
        <v>442</v>
      </c>
      <c r="M46" s="159" t="s">
        <v>548</v>
      </c>
      <c r="N46" s="143"/>
      <c r="O46" s="143"/>
      <c r="P46" s="146">
        <v>45596</v>
      </c>
      <c r="Q46" s="146">
        <v>46325</v>
      </c>
      <c r="R46" s="143"/>
      <c r="S46" s="143"/>
      <c r="T46" s="143"/>
      <c r="U46" s="143"/>
    </row>
    <row r="47" spans="1:21" x14ac:dyDescent="0.35">
      <c r="A47" s="159">
        <v>46</v>
      </c>
      <c r="B47" s="143" t="s">
        <v>536</v>
      </c>
      <c r="C47" s="145">
        <v>196432</v>
      </c>
      <c r="D47" s="155" t="s">
        <v>446</v>
      </c>
      <c r="E47" s="143" t="s">
        <v>447</v>
      </c>
      <c r="F47" s="143" t="s">
        <v>550</v>
      </c>
      <c r="G47" s="143" t="s">
        <v>551</v>
      </c>
      <c r="H47" s="143" t="s">
        <v>440</v>
      </c>
      <c r="I47" s="159" t="s">
        <v>441</v>
      </c>
      <c r="J47" s="157"/>
      <c r="K47" s="159"/>
      <c r="L47" s="157" t="s">
        <v>442</v>
      </c>
      <c r="M47" s="159" t="s">
        <v>548</v>
      </c>
      <c r="N47" s="146"/>
      <c r="O47" s="146"/>
      <c r="P47" s="146">
        <v>45681</v>
      </c>
      <c r="Q47" s="146">
        <v>46410</v>
      </c>
      <c r="R47" s="143"/>
      <c r="S47" s="143"/>
      <c r="T47" s="143"/>
      <c r="U47" s="143"/>
    </row>
    <row r="48" spans="1:21" x14ac:dyDescent="0.35">
      <c r="A48" s="159">
        <v>47</v>
      </c>
      <c r="B48" s="143" t="s">
        <v>568</v>
      </c>
      <c r="C48" s="145">
        <v>46040</v>
      </c>
      <c r="D48" s="155" t="s">
        <v>437</v>
      </c>
      <c r="E48" s="143" t="s">
        <v>298</v>
      </c>
      <c r="F48" s="143" t="s">
        <v>550</v>
      </c>
      <c r="G48" s="143" t="s">
        <v>551</v>
      </c>
      <c r="H48" s="143" t="s">
        <v>440</v>
      </c>
      <c r="I48" s="159" t="s">
        <v>478</v>
      </c>
      <c r="J48" s="157"/>
      <c r="K48" s="159"/>
      <c r="L48" s="157" t="s">
        <v>442</v>
      </c>
      <c r="M48" s="159" t="s">
        <v>548</v>
      </c>
      <c r="N48" s="146"/>
      <c r="O48" s="146"/>
      <c r="P48" s="146">
        <v>45699</v>
      </c>
      <c r="Q48" s="146">
        <v>45796</v>
      </c>
      <c r="R48" s="143"/>
      <c r="S48" s="143"/>
      <c r="T48" s="143"/>
      <c r="U48" s="143"/>
    </row>
    <row r="49" spans="1:21" ht="13.5" customHeight="1" x14ac:dyDescent="0.35">
      <c r="A49" s="159">
        <v>48</v>
      </c>
      <c r="B49" s="143" t="s">
        <v>537</v>
      </c>
      <c r="C49" s="145">
        <v>200000</v>
      </c>
      <c r="D49" s="155" t="s">
        <v>561</v>
      </c>
      <c r="E49" s="143" t="s">
        <v>562</v>
      </c>
      <c r="F49" s="143" t="s">
        <v>438</v>
      </c>
      <c r="G49" s="143" t="s">
        <v>439</v>
      </c>
      <c r="H49" s="143" t="s">
        <v>552</v>
      </c>
      <c r="I49" s="159" t="s">
        <v>441</v>
      </c>
      <c r="J49" s="157"/>
      <c r="K49" s="159"/>
      <c r="L49" s="157" t="s">
        <v>442</v>
      </c>
      <c r="M49" s="159" t="s">
        <v>548</v>
      </c>
      <c r="N49" s="146"/>
      <c r="O49" s="146"/>
      <c r="P49" s="146">
        <v>45755</v>
      </c>
      <c r="Q49" s="146">
        <v>46120</v>
      </c>
      <c r="R49" s="143"/>
      <c r="S49" s="143"/>
      <c r="T49" s="143"/>
      <c r="U49" s="143"/>
    </row>
    <row r="50" spans="1:21" ht="12.5" customHeight="1" x14ac:dyDescent="0.35">
      <c r="A50" s="159">
        <v>49</v>
      </c>
      <c r="B50" s="143" t="s">
        <v>538</v>
      </c>
      <c r="C50" s="145">
        <v>124406</v>
      </c>
      <c r="D50" s="155" t="s">
        <v>437</v>
      </c>
      <c r="E50" s="143" t="s">
        <v>298</v>
      </c>
      <c r="F50" s="143" t="s">
        <v>438</v>
      </c>
      <c r="G50" s="143" t="s">
        <v>439</v>
      </c>
      <c r="H50" s="143" t="s">
        <v>440</v>
      </c>
      <c r="I50" s="159" t="s">
        <v>441</v>
      </c>
      <c r="J50" s="157"/>
      <c r="K50" s="159"/>
      <c r="L50" s="157" t="s">
        <v>442</v>
      </c>
      <c r="M50" s="159" t="s">
        <v>548</v>
      </c>
      <c r="N50" s="146"/>
      <c r="O50" s="146"/>
      <c r="P50" s="146">
        <v>45749</v>
      </c>
      <c r="Q50" s="146">
        <v>46478</v>
      </c>
      <c r="R50" s="143"/>
      <c r="S50" s="143"/>
      <c r="T50" s="143"/>
      <c r="U50" s="143"/>
    </row>
    <row r="51" spans="1:21" ht="12.5" customHeight="1" x14ac:dyDescent="0.35">
      <c r="A51" s="159">
        <v>50</v>
      </c>
      <c r="B51" s="143" t="s">
        <v>539</v>
      </c>
      <c r="C51" s="145">
        <v>107575</v>
      </c>
      <c r="D51" s="155" t="s">
        <v>437</v>
      </c>
      <c r="E51" s="143" t="s">
        <v>298</v>
      </c>
      <c r="F51" s="143" t="s">
        <v>438</v>
      </c>
      <c r="G51" s="143" t="s">
        <v>439</v>
      </c>
      <c r="H51" s="143" t="s">
        <v>440</v>
      </c>
      <c r="I51" s="159" t="s">
        <v>441</v>
      </c>
      <c r="J51" s="157"/>
      <c r="K51" s="159"/>
      <c r="L51" s="157" t="s">
        <v>442</v>
      </c>
      <c r="M51" s="159" t="s">
        <v>548</v>
      </c>
      <c r="N51" s="146"/>
      <c r="O51" s="146"/>
      <c r="P51" s="146">
        <v>45701</v>
      </c>
      <c r="Q51" s="146">
        <v>46430</v>
      </c>
      <c r="R51" s="143"/>
      <c r="S51" s="143"/>
      <c r="T51" s="143"/>
      <c r="U51" s="143"/>
    </row>
    <row r="52" spans="1:21" x14ac:dyDescent="0.35">
      <c r="A52" s="159">
        <v>51</v>
      </c>
      <c r="B52" s="143" t="s">
        <v>569</v>
      </c>
      <c r="C52" s="145">
        <v>5402500</v>
      </c>
      <c r="D52" s="143" t="s">
        <v>446</v>
      </c>
      <c r="E52" s="143" t="s">
        <v>565</v>
      </c>
      <c r="F52" s="143" t="s">
        <v>550</v>
      </c>
      <c r="G52" s="143" t="s">
        <v>439</v>
      </c>
      <c r="H52" s="143" t="s">
        <v>552</v>
      </c>
      <c r="I52" s="143" t="s">
        <v>570</v>
      </c>
      <c r="J52" s="143"/>
      <c r="K52" s="143"/>
      <c r="L52" s="157" t="s">
        <v>442</v>
      </c>
      <c r="M52" s="159" t="s">
        <v>548</v>
      </c>
      <c r="N52" s="143"/>
      <c r="O52" s="143"/>
      <c r="P52" s="146">
        <v>45504</v>
      </c>
      <c r="Q52" s="146">
        <v>46660</v>
      </c>
      <c r="R52" s="143"/>
      <c r="S52" s="143"/>
      <c r="T52" s="143"/>
      <c r="U52" s="143"/>
    </row>
    <row r="53" spans="1:21" x14ac:dyDescent="0.35">
      <c r="A53" s="159">
        <v>52</v>
      </c>
      <c r="B53" s="143" t="s">
        <v>571</v>
      </c>
      <c r="C53" s="145">
        <v>12000</v>
      </c>
      <c r="D53" s="143" t="s">
        <v>437</v>
      </c>
      <c r="E53" s="147" t="s">
        <v>298</v>
      </c>
      <c r="F53" s="143" t="s">
        <v>438</v>
      </c>
      <c r="G53" s="143" t="s">
        <v>439</v>
      </c>
      <c r="H53" s="143" t="s">
        <v>440</v>
      </c>
      <c r="I53" s="159" t="s">
        <v>570</v>
      </c>
      <c r="J53" s="159"/>
      <c r="K53" s="159"/>
      <c r="L53" s="157" t="s">
        <v>442</v>
      </c>
      <c r="M53" s="159" t="s">
        <v>548</v>
      </c>
      <c r="N53" s="143"/>
      <c r="O53" s="143"/>
      <c r="P53" s="146"/>
      <c r="Q53" s="146">
        <v>45876</v>
      </c>
      <c r="R53" s="143"/>
      <c r="S53" s="143"/>
      <c r="T53" s="143"/>
      <c r="U53" s="143"/>
    </row>
    <row r="54" spans="1:21" ht="12.5" customHeight="1" x14ac:dyDescent="0.35">
      <c r="A54" s="159">
        <v>53</v>
      </c>
      <c r="B54" s="143" t="s">
        <v>572</v>
      </c>
      <c r="C54" s="145"/>
      <c r="D54" s="155" t="s">
        <v>446</v>
      </c>
      <c r="E54" s="143" t="s">
        <v>565</v>
      </c>
      <c r="F54" s="143" t="s">
        <v>438</v>
      </c>
      <c r="G54" s="143" t="s">
        <v>551</v>
      </c>
      <c r="H54" s="143" t="s">
        <v>552</v>
      </c>
      <c r="I54" s="159" t="s">
        <v>570</v>
      </c>
      <c r="J54" s="157"/>
      <c r="K54" s="159"/>
      <c r="L54" s="157" t="s">
        <v>442</v>
      </c>
      <c r="M54" s="159" t="s">
        <v>548</v>
      </c>
      <c r="N54" s="146"/>
      <c r="O54" s="143"/>
      <c r="P54" s="146"/>
      <c r="Q54" s="146">
        <v>45967</v>
      </c>
      <c r="R54" s="143"/>
      <c r="S54" s="143"/>
      <c r="T54" s="143"/>
      <c r="U54" s="143"/>
    </row>
    <row r="55" spans="1:21" ht="12.5" customHeight="1" x14ac:dyDescent="0.25">
      <c r="A55" s="159">
        <v>54</v>
      </c>
      <c r="B55" s="143" t="s">
        <v>540</v>
      </c>
      <c r="C55" s="145"/>
      <c r="D55" s="155" t="s">
        <v>446</v>
      </c>
      <c r="E55" s="143" t="s">
        <v>565</v>
      </c>
      <c r="F55" s="143" t="s">
        <v>438</v>
      </c>
      <c r="G55" s="143" t="s">
        <v>551</v>
      </c>
      <c r="H55" s="143" t="s">
        <v>547</v>
      </c>
      <c r="I55" s="159" t="s">
        <v>441</v>
      </c>
      <c r="J55" s="165"/>
      <c r="K55" s="165"/>
      <c r="L55" s="157" t="s">
        <v>442</v>
      </c>
      <c r="M55" s="159" t="s">
        <v>548</v>
      </c>
      <c r="N55" s="143"/>
      <c r="O55" s="143"/>
      <c r="P55" s="146"/>
      <c r="Q55" s="146"/>
      <c r="R55" s="143"/>
      <c r="S55" s="143"/>
      <c r="T55" s="143"/>
      <c r="U55" s="143"/>
    </row>
    <row r="56" spans="1:21" x14ac:dyDescent="0.25">
      <c r="A56" s="159">
        <v>55</v>
      </c>
      <c r="B56" s="143" t="s">
        <v>573</v>
      </c>
      <c r="C56" s="145"/>
      <c r="D56" s="155" t="s">
        <v>446</v>
      </c>
      <c r="E56" s="143" t="s">
        <v>565</v>
      </c>
      <c r="F56" s="143" t="s">
        <v>550</v>
      </c>
      <c r="G56" s="143" t="s">
        <v>551</v>
      </c>
      <c r="H56" s="143" t="s">
        <v>547</v>
      </c>
      <c r="I56" s="159" t="s">
        <v>570</v>
      </c>
      <c r="J56" s="165"/>
      <c r="K56" s="165"/>
      <c r="L56" s="157" t="s">
        <v>442</v>
      </c>
      <c r="M56" s="159" t="s">
        <v>548</v>
      </c>
      <c r="N56" s="143"/>
      <c r="O56" s="143"/>
      <c r="P56" s="146"/>
      <c r="Q56" s="146"/>
      <c r="R56" s="143"/>
      <c r="S56" s="143"/>
      <c r="T56" s="143"/>
      <c r="U56" s="143"/>
    </row>
    <row r="57" spans="1:21" x14ac:dyDescent="0.35">
      <c r="A57" s="159">
        <v>56</v>
      </c>
      <c r="B57" s="143" t="s">
        <v>574</v>
      </c>
      <c r="C57" s="145"/>
      <c r="D57" s="155" t="s">
        <v>446</v>
      </c>
      <c r="E57" s="143" t="s">
        <v>555</v>
      </c>
      <c r="F57" s="143" t="s">
        <v>438</v>
      </c>
      <c r="G57" s="143" t="s">
        <v>551</v>
      </c>
      <c r="H57" s="143" t="s">
        <v>547</v>
      </c>
      <c r="I57" s="159" t="s">
        <v>570</v>
      </c>
      <c r="J57" s="159"/>
      <c r="K57" s="159"/>
      <c r="L57" s="157" t="s">
        <v>442</v>
      </c>
      <c r="M57" s="159" t="s">
        <v>548</v>
      </c>
      <c r="N57" s="143"/>
      <c r="O57" s="143"/>
      <c r="P57" s="146"/>
      <c r="Q57" s="146"/>
      <c r="R57" s="143"/>
      <c r="S57" s="143"/>
      <c r="T57" s="143"/>
      <c r="U57" s="143"/>
    </row>
    <row r="58" spans="1:21" ht="12.5" customHeight="1" x14ac:dyDescent="0.35">
      <c r="A58" s="159">
        <v>57</v>
      </c>
      <c r="B58" s="143" t="s">
        <v>575</v>
      </c>
      <c r="C58" s="145"/>
      <c r="D58" s="155" t="s">
        <v>446</v>
      </c>
      <c r="E58" s="143" t="s">
        <v>447</v>
      </c>
      <c r="F58" s="143" t="s">
        <v>550</v>
      </c>
      <c r="G58" s="143" t="s">
        <v>551</v>
      </c>
      <c r="H58" s="143" t="s">
        <v>547</v>
      </c>
      <c r="I58" s="159" t="s">
        <v>570</v>
      </c>
      <c r="J58" s="157"/>
      <c r="K58" s="159"/>
      <c r="L58" s="157" t="s">
        <v>442</v>
      </c>
      <c r="M58" s="159" t="s">
        <v>548</v>
      </c>
      <c r="N58" s="146"/>
      <c r="O58" s="146"/>
      <c r="P58" s="146"/>
      <c r="Q58" s="146"/>
      <c r="R58" s="143"/>
      <c r="S58" s="143"/>
      <c r="T58" s="143"/>
      <c r="U58" s="143"/>
    </row>
    <row r="59" spans="1:21" x14ac:dyDescent="0.35">
      <c r="A59" s="159">
        <v>58</v>
      </c>
      <c r="B59" s="143" t="s">
        <v>541</v>
      </c>
      <c r="C59" s="145">
        <v>199500</v>
      </c>
      <c r="D59" s="155" t="s">
        <v>446</v>
      </c>
      <c r="E59" s="143" t="s">
        <v>447</v>
      </c>
      <c r="F59" s="143" t="s">
        <v>550</v>
      </c>
      <c r="G59" s="143" t="s">
        <v>551</v>
      </c>
      <c r="H59" s="143" t="s">
        <v>547</v>
      </c>
      <c r="I59" s="159" t="s">
        <v>441</v>
      </c>
      <c r="J59" s="157"/>
      <c r="K59" s="159"/>
      <c r="L59" s="157" t="s">
        <v>442</v>
      </c>
      <c r="M59" s="159" t="s">
        <v>548</v>
      </c>
      <c r="N59" s="146"/>
      <c r="O59" s="146"/>
      <c r="P59" s="146">
        <v>45377</v>
      </c>
      <c r="Q59" s="146">
        <v>46109</v>
      </c>
      <c r="R59" s="143"/>
      <c r="S59" s="143"/>
      <c r="T59" s="143"/>
      <c r="U59" s="143"/>
    </row>
    <row r="60" spans="1:21" x14ac:dyDescent="0.35">
      <c r="A60" s="159">
        <v>59</v>
      </c>
      <c r="B60" s="143" t="s">
        <v>576</v>
      </c>
      <c r="C60" s="145">
        <v>74994</v>
      </c>
      <c r="D60" s="155" t="s">
        <v>437</v>
      </c>
      <c r="E60" s="143" t="s">
        <v>298</v>
      </c>
      <c r="F60" s="143" t="s">
        <v>550</v>
      </c>
      <c r="G60" s="143" t="s">
        <v>551</v>
      </c>
      <c r="H60" s="143" t="s">
        <v>547</v>
      </c>
      <c r="I60" s="159" t="s">
        <v>570</v>
      </c>
      <c r="J60" s="157"/>
      <c r="K60" s="159"/>
      <c r="L60" s="157" t="s">
        <v>442</v>
      </c>
      <c r="M60" s="159" t="s">
        <v>548</v>
      </c>
      <c r="N60" s="146"/>
      <c r="O60" s="146"/>
      <c r="P60" s="146">
        <v>45748</v>
      </c>
      <c r="Q60" s="146">
        <v>46477</v>
      </c>
      <c r="R60" s="143"/>
      <c r="S60" s="143"/>
      <c r="T60" s="143"/>
      <c r="U60" s="143"/>
    </row>
    <row r="61" spans="1:21" x14ac:dyDescent="0.35">
      <c r="A61" s="159">
        <v>60</v>
      </c>
      <c r="B61" s="143" t="s">
        <v>577</v>
      </c>
      <c r="C61" s="145">
        <v>1000000</v>
      </c>
      <c r="D61" s="155" t="s">
        <v>446</v>
      </c>
      <c r="E61" s="143" t="s">
        <v>447</v>
      </c>
      <c r="F61" s="143" t="s">
        <v>438</v>
      </c>
      <c r="G61" s="143" t="s">
        <v>551</v>
      </c>
      <c r="H61" s="143" t="s">
        <v>552</v>
      </c>
      <c r="I61" s="159" t="s">
        <v>570</v>
      </c>
      <c r="J61" s="157"/>
      <c r="K61" s="159"/>
      <c r="L61" s="157" t="s">
        <v>442</v>
      </c>
      <c r="M61" s="159" t="s">
        <v>548</v>
      </c>
      <c r="N61" s="146"/>
      <c r="O61" s="146"/>
      <c r="P61" s="146">
        <v>45688</v>
      </c>
      <c r="Q61" s="146">
        <v>46417</v>
      </c>
      <c r="R61" s="143"/>
      <c r="S61" s="143"/>
      <c r="T61" s="143"/>
      <c r="U61" s="143"/>
    </row>
    <row r="62" spans="1:21" x14ac:dyDescent="0.35">
      <c r="A62" s="159">
        <v>61</v>
      </c>
      <c r="B62" s="143" t="s">
        <v>578</v>
      </c>
      <c r="C62" s="145">
        <v>51920</v>
      </c>
      <c r="D62" s="155" t="s">
        <v>446</v>
      </c>
      <c r="E62" s="143" t="s">
        <v>447</v>
      </c>
      <c r="F62" s="143" t="s">
        <v>438</v>
      </c>
      <c r="G62" s="143" t="s">
        <v>551</v>
      </c>
      <c r="H62" s="143" t="s">
        <v>547</v>
      </c>
      <c r="I62" s="159" t="s">
        <v>441</v>
      </c>
      <c r="J62" s="157"/>
      <c r="K62" s="159"/>
      <c r="L62" s="157" t="s">
        <v>442</v>
      </c>
      <c r="M62" s="159" t="s">
        <v>548</v>
      </c>
      <c r="N62" s="146"/>
      <c r="O62" s="146"/>
      <c r="P62" s="146">
        <v>45782</v>
      </c>
      <c r="Q62" s="146">
        <v>46482</v>
      </c>
      <c r="R62" s="143"/>
      <c r="S62" s="143"/>
      <c r="T62" s="143"/>
      <c r="U62" s="143"/>
    </row>
    <row r="63" spans="1:21" x14ac:dyDescent="0.35">
      <c r="A63" s="159">
        <v>62</v>
      </c>
      <c r="B63" s="143" t="s">
        <v>613</v>
      </c>
      <c r="C63" s="145">
        <v>500000</v>
      </c>
      <c r="D63" s="155" t="s">
        <v>446</v>
      </c>
      <c r="E63" s="143" t="s">
        <v>447</v>
      </c>
      <c r="F63" s="143" t="s">
        <v>550</v>
      </c>
      <c r="G63" s="143" t="s">
        <v>551</v>
      </c>
      <c r="H63" s="143" t="s">
        <v>552</v>
      </c>
      <c r="I63" s="159" t="s">
        <v>570</v>
      </c>
      <c r="J63" s="157"/>
      <c r="K63" s="159"/>
      <c r="L63" s="157" t="s">
        <v>442</v>
      </c>
      <c r="M63" s="159" t="s">
        <v>548</v>
      </c>
      <c r="N63" s="146"/>
      <c r="O63" s="146"/>
      <c r="P63" s="146"/>
      <c r="Q63" s="146"/>
      <c r="R63" s="143"/>
      <c r="S63" s="143"/>
      <c r="T63" s="143"/>
      <c r="U63" s="143"/>
    </row>
    <row r="64" spans="1:21" x14ac:dyDescent="0.35">
      <c r="A64" s="159">
        <v>63</v>
      </c>
      <c r="B64" s="143" t="s">
        <v>592</v>
      </c>
      <c r="C64" s="145">
        <v>2300000</v>
      </c>
      <c r="D64" s="155" t="s">
        <v>446</v>
      </c>
      <c r="E64" s="143" t="s">
        <v>447</v>
      </c>
      <c r="F64" s="143" t="s">
        <v>550</v>
      </c>
      <c r="G64" s="143" t="s">
        <v>551</v>
      </c>
      <c r="H64" s="143" t="s">
        <v>552</v>
      </c>
      <c r="I64" s="159" t="s">
        <v>570</v>
      </c>
      <c r="J64" s="157"/>
      <c r="K64" s="159"/>
      <c r="L64" s="157" t="s">
        <v>442</v>
      </c>
      <c r="M64" s="159" t="s">
        <v>548</v>
      </c>
      <c r="N64" s="146"/>
      <c r="O64" s="146"/>
      <c r="P64" s="146"/>
      <c r="Q64" s="146"/>
      <c r="R64" s="143"/>
      <c r="S64" s="143"/>
      <c r="T64" s="143"/>
      <c r="U64" s="143"/>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B65F-7DAC-4A54-B5DC-B32AAE59FC13}">
  <dimension ref="A1:H25"/>
  <sheetViews>
    <sheetView showGridLines="0" workbookViewId="0">
      <selection activeCell="B2" sqref="B2"/>
    </sheetView>
  </sheetViews>
  <sheetFormatPr defaultColWidth="8.7265625" defaultRowHeight="14.5" x14ac:dyDescent="0.35"/>
  <cols>
    <col min="1" max="1" width="15.08984375" style="39" bestFit="1" customWidth="1"/>
    <col min="2" max="2" width="41.54296875" style="39" bestFit="1" customWidth="1"/>
    <col min="3" max="3" width="11.54296875" style="39" bestFit="1" customWidth="1"/>
    <col min="4" max="4" width="14.7265625" style="1" bestFit="1" customWidth="1"/>
    <col min="5" max="5" width="22.1796875" style="1" bestFit="1" customWidth="1"/>
    <col min="6" max="6" width="32.81640625" style="39" bestFit="1" customWidth="1"/>
    <col min="7" max="8" width="24.7265625"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23" x14ac:dyDescent="0.35">
      <c r="A2" s="190" t="s">
        <v>146</v>
      </c>
      <c r="B2" s="148" t="s">
        <v>822</v>
      </c>
      <c r="C2" s="148" t="s">
        <v>21</v>
      </c>
      <c r="D2" s="149"/>
      <c r="E2" s="154"/>
      <c r="F2" s="151" t="s">
        <v>823</v>
      </c>
      <c r="G2" s="151"/>
      <c r="H2" s="151"/>
    </row>
    <row r="3" spans="1:8" s="5" customFormat="1" ht="12" x14ac:dyDescent="0.35">
      <c r="A3" s="148"/>
      <c r="B3" s="148"/>
      <c r="C3" s="148"/>
      <c r="D3" s="149"/>
      <c r="E3" s="154"/>
      <c r="F3" s="151"/>
      <c r="G3" s="151"/>
      <c r="H3" s="151"/>
    </row>
    <row r="4" spans="1:8" s="5" customFormat="1" ht="12" x14ac:dyDescent="0.35">
      <c r="A4" s="148" t="s">
        <v>779</v>
      </c>
      <c r="B4" s="148"/>
      <c r="C4" s="148"/>
      <c r="D4" s="149"/>
      <c r="E4" s="154"/>
      <c r="F4" s="151"/>
      <c r="G4" s="151"/>
      <c r="H4" s="151"/>
    </row>
    <row r="5" spans="1:8" s="5" customFormat="1" ht="12" x14ac:dyDescent="0.35">
      <c r="A5" s="148"/>
      <c r="B5" s="148"/>
      <c r="C5" s="148"/>
      <c r="D5" s="149"/>
      <c r="E5" s="154"/>
      <c r="F5" s="151"/>
      <c r="G5" s="148"/>
      <c r="H5" s="151"/>
    </row>
    <row r="6" spans="1:8" s="5" customFormat="1" ht="12" x14ac:dyDescent="0.35">
      <c r="A6" s="148"/>
      <c r="B6" s="148"/>
      <c r="C6" s="148"/>
      <c r="D6" s="149"/>
      <c r="E6" s="154"/>
      <c r="F6" s="148"/>
      <c r="G6" s="148"/>
      <c r="H6" s="148"/>
    </row>
    <row r="7" spans="1:8" s="5" customFormat="1" ht="12" x14ac:dyDescent="0.35">
      <c r="A7" s="148"/>
      <c r="B7" s="148"/>
      <c r="C7" s="148"/>
      <c r="D7" s="149"/>
      <c r="E7" s="154"/>
      <c r="F7" s="151"/>
      <c r="G7" s="148"/>
      <c r="H7" s="148"/>
    </row>
    <row r="8" spans="1:8" s="5" customFormat="1" ht="12" x14ac:dyDescent="0.35">
      <c r="A8" s="148"/>
      <c r="B8" s="148"/>
      <c r="C8" s="148"/>
      <c r="D8" s="149"/>
      <c r="E8" s="154"/>
      <c r="F8" s="151"/>
      <c r="G8" s="148"/>
      <c r="H8" s="148"/>
    </row>
    <row r="9" spans="1:8" s="5" customFormat="1" ht="12" x14ac:dyDescent="0.35">
      <c r="A9" s="148"/>
      <c r="B9" s="148"/>
      <c r="C9" s="148"/>
      <c r="D9" s="149"/>
      <c r="E9" s="154"/>
      <c r="F9" s="148"/>
      <c r="G9" s="151"/>
      <c r="H9" s="148"/>
    </row>
    <row r="10" spans="1:8" s="5" customFormat="1" ht="12" x14ac:dyDescent="0.35">
      <c r="A10" s="148"/>
      <c r="B10" s="148"/>
      <c r="C10" s="148"/>
      <c r="D10" s="149"/>
      <c r="E10" s="154"/>
      <c r="F10" s="148"/>
      <c r="G10" s="148"/>
      <c r="H10" s="148"/>
    </row>
    <row r="11" spans="1:8" s="5" customFormat="1" ht="12" x14ac:dyDescent="0.35">
      <c r="A11" s="148"/>
      <c r="B11" s="148"/>
      <c r="C11" s="148"/>
      <c r="D11" s="149"/>
      <c r="E11" s="154"/>
      <c r="F11" s="151"/>
      <c r="G11" s="148"/>
      <c r="H11" s="148"/>
    </row>
    <row r="12" spans="1:8" s="5" customFormat="1" ht="12" x14ac:dyDescent="0.35">
      <c r="A12" s="148"/>
      <c r="B12" s="148"/>
      <c r="C12" s="148"/>
      <c r="D12" s="149"/>
      <c r="E12" s="181"/>
      <c r="F12" s="148"/>
      <c r="G12" s="148"/>
      <c r="H12" s="148"/>
    </row>
    <row r="13" spans="1:8" s="5" customFormat="1" ht="12" x14ac:dyDescent="0.35">
      <c r="A13" s="148"/>
      <c r="B13" s="148"/>
      <c r="C13" s="148"/>
      <c r="D13" s="149"/>
      <c r="E13" s="182"/>
      <c r="F13" s="148"/>
      <c r="G13" s="148"/>
      <c r="H13" s="148"/>
    </row>
    <row r="14" spans="1:8" s="5" customFormat="1" ht="12" x14ac:dyDescent="0.35">
      <c r="A14" s="148"/>
      <c r="B14" s="148"/>
      <c r="C14" s="148"/>
      <c r="D14" s="149"/>
      <c r="E14" s="182"/>
      <c r="F14" s="151"/>
      <c r="G14" s="148"/>
      <c r="H14" s="148"/>
    </row>
    <row r="15" spans="1:8" s="5" customFormat="1" ht="12" x14ac:dyDescent="0.35">
      <c r="A15" s="148"/>
      <c r="B15" s="148"/>
      <c r="C15" s="148"/>
      <c r="D15" s="149"/>
      <c r="E15" s="182"/>
      <c r="F15" s="148"/>
      <c r="G15" s="148"/>
      <c r="H15" s="148"/>
    </row>
    <row r="16" spans="1:8" s="5" customFormat="1" ht="12" x14ac:dyDescent="0.35">
      <c r="A16" s="148"/>
      <c r="B16" s="148"/>
      <c r="C16" s="148"/>
      <c r="D16" s="149"/>
      <c r="E16" s="182"/>
      <c r="F16" s="148"/>
      <c r="G16" s="148"/>
      <c r="H16" s="148"/>
    </row>
    <row r="17" spans="1:8" s="5" customFormat="1" ht="12" x14ac:dyDescent="0.35">
      <c r="A17" s="148"/>
      <c r="B17" s="148"/>
      <c r="C17" s="148"/>
      <c r="D17" s="149"/>
      <c r="E17" s="182"/>
      <c r="F17" s="148"/>
      <c r="G17" s="148"/>
      <c r="H17" s="148"/>
    </row>
    <row r="18" spans="1:8" s="5" customFormat="1" ht="12" x14ac:dyDescent="0.35">
      <c r="A18" s="148"/>
      <c r="B18" s="148"/>
      <c r="C18" s="148"/>
      <c r="D18" s="149"/>
      <c r="E18" s="154"/>
      <c r="F18" s="148"/>
      <c r="G18" s="148"/>
      <c r="H18" s="148"/>
    </row>
    <row r="19" spans="1:8" s="5" customFormat="1" ht="12" x14ac:dyDescent="0.35">
      <c r="A19" s="148"/>
      <c r="B19" s="148"/>
      <c r="C19" s="148"/>
      <c r="D19" s="149"/>
      <c r="E19" s="182"/>
      <c r="F19" s="148"/>
      <c r="G19" s="148"/>
      <c r="H19" s="148"/>
    </row>
    <row r="20" spans="1:8" s="5" customFormat="1" ht="12" x14ac:dyDescent="0.35">
      <c r="A20" s="148"/>
      <c r="B20" s="148"/>
      <c r="C20" s="148"/>
      <c r="D20" s="149"/>
      <c r="E20" s="182"/>
      <c r="F20" s="148"/>
      <c r="G20" s="148"/>
      <c r="H20" s="148"/>
    </row>
    <row r="21" spans="1:8" s="5" customFormat="1" ht="12" x14ac:dyDescent="0.35">
      <c r="A21" s="148"/>
      <c r="B21" s="148"/>
      <c r="C21" s="148"/>
      <c r="D21" s="149"/>
      <c r="E21" s="182"/>
      <c r="F21" s="183"/>
      <c r="G21" s="148"/>
      <c r="H21" s="148"/>
    </row>
    <row r="22" spans="1:8" s="5" customFormat="1" ht="12" x14ac:dyDescent="0.35">
      <c r="A22" s="148"/>
      <c r="B22" s="148"/>
      <c r="C22" s="148"/>
      <c r="D22" s="149"/>
      <c r="E22" s="182"/>
      <c r="F22" s="148"/>
      <c r="G22" s="148"/>
      <c r="H22" s="148"/>
    </row>
    <row r="23" spans="1:8" s="5" customFormat="1" ht="12" x14ac:dyDescent="0.35">
      <c r="A23" s="148"/>
      <c r="B23" s="148"/>
      <c r="C23" s="148"/>
      <c r="D23" s="149"/>
      <c r="E23" s="182"/>
      <c r="F23" s="148"/>
      <c r="G23" s="148"/>
      <c r="H23" s="148"/>
    </row>
    <row r="24" spans="1:8" s="5" customFormat="1" ht="12" x14ac:dyDescent="0.35">
      <c r="A24" s="148"/>
      <c r="B24" s="148"/>
      <c r="C24" s="148"/>
      <c r="D24" s="149"/>
      <c r="E24" s="182"/>
      <c r="F24" s="148"/>
      <c r="G24" s="148"/>
      <c r="H24" s="148"/>
    </row>
    <row r="25" spans="1:8" s="5" customFormat="1" ht="12" x14ac:dyDescent="0.35">
      <c r="A25" s="148"/>
      <c r="B25" s="148"/>
      <c r="C25" s="148"/>
      <c r="D25" s="149"/>
      <c r="E25" s="154"/>
      <c r="F25" s="148"/>
      <c r="G25" s="148"/>
      <c r="H25" s="148"/>
    </row>
  </sheetData>
  <autoFilter ref="A1:H4" xr:uid="{B5C5BC42-9090-42A9-A1A7-09505EF6244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3451-0DF1-4096-89D1-756AC0482672}">
  <dimension ref="A1:H25"/>
  <sheetViews>
    <sheetView showGridLines="0" workbookViewId="0">
      <selection activeCell="A4" sqref="A4"/>
    </sheetView>
  </sheetViews>
  <sheetFormatPr defaultColWidth="8.7265625" defaultRowHeight="14.5" x14ac:dyDescent="0.35"/>
  <cols>
    <col min="1" max="1" width="15.08984375" style="39" bestFit="1" customWidth="1"/>
    <col min="2" max="2" width="41.54296875" style="39" bestFit="1" customWidth="1"/>
    <col min="3" max="3" width="11.54296875" style="39" bestFit="1" customWidth="1"/>
    <col min="4" max="4" width="14.7265625" style="1" bestFit="1" customWidth="1"/>
    <col min="5" max="5" width="22.1796875" style="1" bestFit="1" customWidth="1"/>
    <col min="6" max="6" width="32.81640625" style="39" bestFit="1" customWidth="1"/>
    <col min="7" max="8" width="24.7265625"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23" x14ac:dyDescent="0.35">
      <c r="A2" s="190" t="s">
        <v>630</v>
      </c>
      <c r="B2" s="148" t="s">
        <v>780</v>
      </c>
      <c r="C2" s="148" t="s">
        <v>618</v>
      </c>
      <c r="D2" s="149"/>
      <c r="E2" s="154"/>
      <c r="F2" s="151" t="s">
        <v>781</v>
      </c>
      <c r="G2" s="151"/>
      <c r="H2" s="151"/>
    </row>
    <row r="3" spans="1:8" s="5" customFormat="1" ht="34.5" x14ac:dyDescent="0.35">
      <c r="A3" s="148"/>
      <c r="B3" s="148"/>
      <c r="C3" s="148"/>
      <c r="D3" s="149"/>
      <c r="E3" s="154"/>
      <c r="F3" s="151" t="s">
        <v>791</v>
      </c>
      <c r="G3" s="151"/>
      <c r="H3" s="151"/>
    </row>
    <row r="4" spans="1:8" s="5" customFormat="1" ht="12" x14ac:dyDescent="0.35">
      <c r="A4" s="148" t="s">
        <v>779</v>
      </c>
      <c r="B4" s="148"/>
      <c r="C4" s="148"/>
      <c r="D4" s="149"/>
      <c r="E4" s="154"/>
      <c r="F4" s="151"/>
      <c r="G4" s="151"/>
      <c r="H4" s="151"/>
    </row>
    <row r="5" spans="1:8" s="5" customFormat="1" ht="12" x14ac:dyDescent="0.35">
      <c r="A5" s="148"/>
      <c r="B5" s="148"/>
      <c r="C5" s="148"/>
      <c r="D5" s="149"/>
      <c r="E5" s="154"/>
      <c r="F5" s="151"/>
      <c r="G5" s="148"/>
      <c r="H5" s="151"/>
    </row>
    <row r="6" spans="1:8" s="5" customFormat="1" ht="12" x14ac:dyDescent="0.35">
      <c r="A6" s="148"/>
      <c r="B6" s="148"/>
      <c r="C6" s="148"/>
      <c r="D6" s="149"/>
      <c r="E6" s="154"/>
      <c r="F6" s="148"/>
      <c r="G6" s="148"/>
      <c r="H6" s="148"/>
    </row>
    <row r="7" spans="1:8" s="5" customFormat="1" ht="12" x14ac:dyDescent="0.35">
      <c r="A7" s="148"/>
      <c r="B7" s="148"/>
      <c r="C7" s="148"/>
      <c r="D7" s="149"/>
      <c r="E7" s="154"/>
      <c r="F7" s="151"/>
      <c r="G7" s="148"/>
      <c r="H7" s="148"/>
    </row>
    <row r="8" spans="1:8" s="5" customFormat="1" ht="12" x14ac:dyDescent="0.35">
      <c r="A8" s="148"/>
      <c r="B8" s="148"/>
      <c r="C8" s="148"/>
      <c r="D8" s="149"/>
      <c r="E8" s="154"/>
      <c r="F8" s="151"/>
      <c r="G8" s="148"/>
      <c r="H8" s="148"/>
    </row>
    <row r="9" spans="1:8" s="5" customFormat="1" ht="12" x14ac:dyDescent="0.35">
      <c r="A9" s="148"/>
      <c r="B9" s="148"/>
      <c r="C9" s="148"/>
      <c r="D9" s="149"/>
      <c r="E9" s="154"/>
      <c r="F9" s="148"/>
      <c r="G9" s="151"/>
      <c r="H9" s="148"/>
    </row>
    <row r="10" spans="1:8" s="5" customFormat="1" ht="12" x14ac:dyDescent="0.35">
      <c r="A10" s="148"/>
      <c r="B10" s="148"/>
      <c r="C10" s="148"/>
      <c r="D10" s="149"/>
      <c r="E10" s="154"/>
      <c r="F10" s="148"/>
      <c r="G10" s="148"/>
      <c r="H10" s="148"/>
    </row>
    <row r="11" spans="1:8" s="5" customFormat="1" ht="12" x14ac:dyDescent="0.35">
      <c r="A11" s="148"/>
      <c r="B11" s="148"/>
      <c r="C11" s="148"/>
      <c r="D11" s="149"/>
      <c r="E11" s="154"/>
      <c r="F11" s="151"/>
      <c r="G11" s="148"/>
      <c r="H11" s="148"/>
    </row>
    <row r="12" spans="1:8" s="5" customFormat="1" ht="12" x14ac:dyDescent="0.35">
      <c r="A12" s="148"/>
      <c r="B12" s="148"/>
      <c r="C12" s="148"/>
      <c r="D12" s="149"/>
      <c r="E12" s="181"/>
      <c r="F12" s="148"/>
      <c r="G12" s="148"/>
      <c r="H12" s="148"/>
    </row>
    <row r="13" spans="1:8" s="5" customFormat="1" ht="12" x14ac:dyDescent="0.35">
      <c r="A13" s="148"/>
      <c r="B13" s="148"/>
      <c r="C13" s="148"/>
      <c r="D13" s="149"/>
      <c r="E13" s="182"/>
      <c r="F13" s="148"/>
      <c r="G13" s="148"/>
      <c r="H13" s="148"/>
    </row>
    <row r="14" spans="1:8" s="5" customFormat="1" ht="12" x14ac:dyDescent="0.35">
      <c r="A14" s="148"/>
      <c r="B14" s="148"/>
      <c r="C14" s="148"/>
      <c r="D14" s="149"/>
      <c r="E14" s="182"/>
      <c r="F14" s="151"/>
      <c r="G14" s="148"/>
      <c r="H14" s="148"/>
    </row>
    <row r="15" spans="1:8" s="5" customFormat="1" ht="12" x14ac:dyDescent="0.35">
      <c r="A15" s="148"/>
      <c r="B15" s="148"/>
      <c r="C15" s="148"/>
      <c r="D15" s="149"/>
      <c r="E15" s="182"/>
      <c r="F15" s="148"/>
      <c r="G15" s="148"/>
      <c r="H15" s="148"/>
    </row>
    <row r="16" spans="1:8" s="5" customFormat="1" ht="12" x14ac:dyDescent="0.35">
      <c r="A16" s="148"/>
      <c r="B16" s="148"/>
      <c r="C16" s="148"/>
      <c r="D16" s="149"/>
      <c r="E16" s="182"/>
      <c r="F16" s="148"/>
      <c r="G16" s="148"/>
      <c r="H16" s="148"/>
    </row>
    <row r="17" spans="1:8" s="5" customFormat="1" ht="12" x14ac:dyDescent="0.35">
      <c r="A17" s="148"/>
      <c r="B17" s="148"/>
      <c r="C17" s="148"/>
      <c r="D17" s="149"/>
      <c r="E17" s="182"/>
      <c r="F17" s="148"/>
      <c r="G17" s="148"/>
      <c r="H17" s="148"/>
    </row>
    <row r="18" spans="1:8" s="5" customFormat="1" ht="12" x14ac:dyDescent="0.35">
      <c r="A18" s="148"/>
      <c r="B18" s="148"/>
      <c r="C18" s="148"/>
      <c r="D18" s="149"/>
      <c r="E18" s="154"/>
      <c r="F18" s="148"/>
      <c r="G18" s="148"/>
      <c r="H18" s="148"/>
    </row>
    <row r="19" spans="1:8" s="5" customFormat="1" ht="12" x14ac:dyDescent="0.35">
      <c r="A19" s="148"/>
      <c r="B19" s="148"/>
      <c r="C19" s="148"/>
      <c r="D19" s="149"/>
      <c r="E19" s="182"/>
      <c r="F19" s="148"/>
      <c r="G19" s="148"/>
      <c r="H19" s="148"/>
    </row>
    <row r="20" spans="1:8" s="5" customFormat="1" ht="12" x14ac:dyDescent="0.35">
      <c r="A20" s="148"/>
      <c r="B20" s="148"/>
      <c r="C20" s="148"/>
      <c r="D20" s="149"/>
      <c r="E20" s="182"/>
      <c r="F20" s="148"/>
      <c r="G20" s="148"/>
      <c r="H20" s="148"/>
    </row>
    <row r="21" spans="1:8" s="5" customFormat="1" ht="12" x14ac:dyDescent="0.35">
      <c r="A21" s="148"/>
      <c r="B21" s="148"/>
      <c r="C21" s="148"/>
      <c r="D21" s="149"/>
      <c r="E21" s="182"/>
      <c r="F21" s="183"/>
      <c r="G21" s="148"/>
      <c r="H21" s="148"/>
    </row>
    <row r="22" spans="1:8" s="5" customFormat="1" ht="12" x14ac:dyDescent="0.35">
      <c r="A22" s="148"/>
      <c r="B22" s="148"/>
      <c r="C22" s="148"/>
      <c r="D22" s="149"/>
      <c r="E22" s="182"/>
      <c r="F22" s="148"/>
      <c r="G22" s="148"/>
      <c r="H22" s="148"/>
    </row>
    <row r="23" spans="1:8" s="5" customFormat="1" ht="12" x14ac:dyDescent="0.35">
      <c r="A23" s="148"/>
      <c r="B23" s="148"/>
      <c r="C23" s="148"/>
      <c r="D23" s="149"/>
      <c r="E23" s="182"/>
      <c r="F23" s="148"/>
      <c r="G23" s="148"/>
      <c r="H23" s="148"/>
    </row>
    <row r="24" spans="1:8" s="5" customFormat="1" ht="12" x14ac:dyDescent="0.35">
      <c r="A24" s="148"/>
      <c r="B24" s="148"/>
      <c r="C24" s="148"/>
      <c r="D24" s="149"/>
      <c r="E24" s="182"/>
      <c r="F24" s="148"/>
      <c r="G24" s="148"/>
      <c r="H24" s="148"/>
    </row>
    <row r="25" spans="1:8" s="5" customFormat="1" ht="12" x14ac:dyDescent="0.35">
      <c r="A25" s="148"/>
      <c r="B25" s="148"/>
      <c r="C25" s="148"/>
      <c r="D25" s="149"/>
      <c r="E25" s="154"/>
      <c r="F25" s="148"/>
      <c r="G25" s="148"/>
      <c r="H25" s="148"/>
    </row>
  </sheetData>
  <autoFilter ref="A1:H4" xr:uid="{B5C5BC42-9090-42A9-A1A7-09505EF6244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24828-6758-4EF7-8BEF-5D999B226B32}">
  <dimension ref="A1:H25"/>
  <sheetViews>
    <sheetView showGridLines="0" topLeftCell="C1" workbookViewId="0">
      <selection activeCell="F9" sqref="F9"/>
    </sheetView>
  </sheetViews>
  <sheetFormatPr defaultColWidth="8.7265625" defaultRowHeight="14.5" x14ac:dyDescent="0.35"/>
  <cols>
    <col min="1" max="1" width="15.08984375" style="39" bestFit="1" customWidth="1"/>
    <col min="2" max="2" width="41.54296875" style="39" bestFit="1" customWidth="1"/>
    <col min="3" max="3" width="11.54296875" style="39" bestFit="1" customWidth="1"/>
    <col min="4" max="4" width="14.7265625" style="1" bestFit="1" customWidth="1"/>
    <col min="5" max="5" width="22.1796875" style="1" bestFit="1" customWidth="1"/>
    <col min="6" max="6" width="32.81640625" style="39" bestFit="1" customWidth="1"/>
    <col min="7" max="8" width="24.7265625"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57.5" x14ac:dyDescent="0.35">
      <c r="A2" s="190" t="s">
        <v>770</v>
      </c>
      <c r="B2" s="148" t="s">
        <v>773</v>
      </c>
      <c r="C2" s="148" t="s">
        <v>21</v>
      </c>
      <c r="D2" s="149"/>
      <c r="E2" s="154">
        <v>360</v>
      </c>
      <c r="F2" s="151" t="s">
        <v>792</v>
      </c>
      <c r="G2" s="151" t="s">
        <v>794</v>
      </c>
      <c r="H2" s="151" t="s">
        <v>793</v>
      </c>
    </row>
    <row r="3" spans="1:8" s="5" customFormat="1" ht="12" x14ac:dyDescent="0.35">
      <c r="A3" s="148"/>
      <c r="B3" s="148"/>
      <c r="C3" s="148"/>
      <c r="D3" s="149"/>
      <c r="E3" s="154"/>
      <c r="F3" s="148"/>
      <c r="G3" s="151"/>
      <c r="H3" s="151"/>
    </row>
    <row r="4" spans="1:8" s="5" customFormat="1" ht="12" x14ac:dyDescent="0.35">
      <c r="A4" s="148"/>
      <c r="B4" s="148"/>
      <c r="C4" s="148"/>
      <c r="D4" s="149"/>
      <c r="E4" s="154"/>
      <c r="F4" s="151"/>
      <c r="G4" s="151"/>
      <c r="H4" s="151"/>
    </row>
    <row r="5" spans="1:8" s="5" customFormat="1" ht="12" x14ac:dyDescent="0.35">
      <c r="A5" s="148"/>
      <c r="B5" s="148"/>
      <c r="C5" s="148"/>
      <c r="D5" s="149"/>
      <c r="E5" s="154"/>
      <c r="F5" s="151"/>
      <c r="G5" s="148"/>
      <c r="H5" s="151"/>
    </row>
    <row r="6" spans="1:8" s="5" customFormat="1" ht="12" x14ac:dyDescent="0.35">
      <c r="A6" s="148"/>
      <c r="B6" s="148"/>
      <c r="C6" s="148"/>
      <c r="D6" s="149"/>
      <c r="E6" s="154"/>
      <c r="F6" s="148"/>
      <c r="G6" s="148"/>
      <c r="H6" s="148"/>
    </row>
    <row r="7" spans="1:8" s="5" customFormat="1" ht="12" x14ac:dyDescent="0.35">
      <c r="A7" s="148"/>
      <c r="B7" s="148"/>
      <c r="C7" s="148"/>
      <c r="D7" s="149"/>
      <c r="E7" s="154"/>
      <c r="F7" s="151"/>
      <c r="G7" s="148"/>
      <c r="H7" s="148"/>
    </row>
    <row r="8" spans="1:8" s="5" customFormat="1" ht="12" x14ac:dyDescent="0.35">
      <c r="A8" s="148"/>
      <c r="B8" s="148"/>
      <c r="C8" s="148"/>
      <c r="D8" s="149"/>
      <c r="E8" s="154"/>
      <c r="F8" s="151"/>
      <c r="G8" s="148"/>
      <c r="H8" s="148"/>
    </row>
    <row r="9" spans="1:8" s="5" customFormat="1" ht="12" x14ac:dyDescent="0.35">
      <c r="A9" s="148"/>
      <c r="B9" s="148"/>
      <c r="C9" s="148"/>
      <c r="D9" s="149"/>
      <c r="E9" s="154"/>
      <c r="F9" s="148"/>
      <c r="G9" s="151"/>
      <c r="H9" s="148"/>
    </row>
    <row r="10" spans="1:8" s="5" customFormat="1" ht="12" x14ac:dyDescent="0.35">
      <c r="A10" s="148"/>
      <c r="B10" s="148"/>
      <c r="C10" s="148"/>
      <c r="D10" s="149"/>
      <c r="E10" s="154"/>
      <c r="F10" s="148"/>
      <c r="G10" s="148"/>
      <c r="H10" s="148"/>
    </row>
    <row r="11" spans="1:8" s="5" customFormat="1" ht="12" x14ac:dyDescent="0.35">
      <c r="A11" s="148"/>
      <c r="B11" s="148"/>
      <c r="C11" s="148"/>
      <c r="D11" s="149"/>
      <c r="E11" s="154"/>
      <c r="F11" s="151"/>
      <c r="G11" s="148"/>
      <c r="H11" s="148"/>
    </row>
    <row r="12" spans="1:8" s="5" customFormat="1" ht="12" x14ac:dyDescent="0.35">
      <c r="A12" s="148"/>
      <c r="B12" s="148"/>
      <c r="C12" s="148"/>
      <c r="D12" s="149"/>
      <c r="E12" s="181"/>
      <c r="F12" s="148"/>
      <c r="G12" s="148"/>
      <c r="H12" s="148"/>
    </row>
    <row r="13" spans="1:8" s="5" customFormat="1" ht="12" x14ac:dyDescent="0.35">
      <c r="A13" s="148"/>
      <c r="B13" s="148"/>
      <c r="C13" s="148"/>
      <c r="D13" s="149"/>
      <c r="E13" s="182"/>
      <c r="F13" s="148"/>
      <c r="G13" s="148"/>
      <c r="H13" s="148"/>
    </row>
    <row r="14" spans="1:8" s="5" customFormat="1" ht="12" x14ac:dyDescent="0.35">
      <c r="A14" s="148"/>
      <c r="B14" s="148"/>
      <c r="C14" s="148"/>
      <c r="D14" s="149"/>
      <c r="E14" s="182"/>
      <c r="F14" s="151"/>
      <c r="G14" s="148"/>
      <c r="H14" s="148"/>
    </row>
    <row r="15" spans="1:8" s="5" customFormat="1" ht="12" x14ac:dyDescent="0.35">
      <c r="A15" s="148"/>
      <c r="B15" s="148"/>
      <c r="C15" s="148"/>
      <c r="D15" s="149"/>
      <c r="E15" s="182"/>
      <c r="F15" s="148"/>
      <c r="G15" s="148"/>
      <c r="H15" s="148"/>
    </row>
    <row r="16" spans="1:8" s="5" customFormat="1" ht="12" x14ac:dyDescent="0.35">
      <c r="A16" s="148"/>
      <c r="B16" s="148"/>
      <c r="C16" s="148"/>
      <c r="D16" s="149"/>
      <c r="E16" s="182"/>
      <c r="F16" s="148"/>
      <c r="G16" s="148"/>
      <c r="H16" s="148"/>
    </row>
    <row r="17" spans="1:8" s="5" customFormat="1" ht="12" x14ac:dyDescent="0.35">
      <c r="A17" s="148"/>
      <c r="B17" s="148"/>
      <c r="C17" s="148"/>
      <c r="D17" s="149"/>
      <c r="E17" s="182"/>
      <c r="F17" s="148"/>
      <c r="G17" s="148"/>
      <c r="H17" s="148"/>
    </row>
    <row r="18" spans="1:8" s="5" customFormat="1" ht="12" x14ac:dyDescent="0.35">
      <c r="A18" s="148"/>
      <c r="B18" s="148"/>
      <c r="C18" s="148"/>
      <c r="D18" s="149"/>
      <c r="E18" s="154"/>
      <c r="F18" s="148"/>
      <c r="G18" s="148"/>
      <c r="H18" s="148"/>
    </row>
    <row r="19" spans="1:8" s="5" customFormat="1" ht="12" x14ac:dyDescent="0.35">
      <c r="A19" s="148"/>
      <c r="B19" s="148"/>
      <c r="C19" s="148"/>
      <c r="D19" s="149"/>
      <c r="E19" s="182"/>
      <c r="F19" s="148"/>
      <c r="G19" s="148"/>
      <c r="H19" s="148"/>
    </row>
    <row r="20" spans="1:8" s="5" customFormat="1" ht="12" x14ac:dyDescent="0.35">
      <c r="A20" s="148"/>
      <c r="B20" s="148"/>
      <c r="C20" s="148"/>
      <c r="D20" s="149"/>
      <c r="E20" s="182"/>
      <c r="F20" s="148"/>
      <c r="G20" s="148"/>
      <c r="H20" s="148"/>
    </row>
    <row r="21" spans="1:8" s="5" customFormat="1" ht="12" x14ac:dyDescent="0.35">
      <c r="A21" s="148"/>
      <c r="B21" s="148"/>
      <c r="C21" s="148"/>
      <c r="D21" s="149"/>
      <c r="E21" s="182"/>
      <c r="F21" s="183"/>
      <c r="G21" s="148"/>
      <c r="H21" s="148"/>
    </row>
    <row r="22" spans="1:8" s="5" customFormat="1" ht="12" x14ac:dyDescent="0.35">
      <c r="A22" s="148"/>
      <c r="B22" s="148"/>
      <c r="C22" s="148"/>
      <c r="D22" s="149"/>
      <c r="E22" s="182"/>
      <c r="F22" s="148"/>
      <c r="G22" s="148"/>
      <c r="H22" s="148"/>
    </row>
    <row r="23" spans="1:8" s="5" customFormat="1" ht="12" x14ac:dyDescent="0.35">
      <c r="A23" s="148"/>
      <c r="B23" s="148"/>
      <c r="C23" s="148"/>
      <c r="D23" s="149"/>
      <c r="E23" s="182"/>
      <c r="F23" s="148"/>
      <c r="G23" s="148"/>
      <c r="H23" s="148"/>
    </row>
    <row r="24" spans="1:8" s="5" customFormat="1" ht="12" x14ac:dyDescent="0.35">
      <c r="A24" s="148"/>
      <c r="B24" s="148"/>
      <c r="C24" s="148"/>
      <c r="D24" s="149"/>
      <c r="E24" s="182"/>
      <c r="F24" s="148"/>
      <c r="G24" s="148"/>
      <c r="H24" s="148"/>
    </row>
    <row r="25" spans="1:8" s="5" customFormat="1" ht="12" x14ac:dyDescent="0.35">
      <c r="A25" s="148"/>
      <c r="B25" s="148"/>
      <c r="C25" s="148"/>
      <c r="D25" s="149"/>
      <c r="E25" s="154"/>
      <c r="F25" s="148"/>
      <c r="G25" s="148"/>
      <c r="H25" s="148"/>
    </row>
  </sheetData>
  <autoFilter ref="A1:H4" xr:uid="{B5C5BC42-9090-42A9-A1A7-09505EF6244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41B74-FFC6-4A89-B10E-9A643FB1DB50}">
  <dimension ref="A1:H25"/>
  <sheetViews>
    <sheetView showGridLines="0" workbookViewId="0">
      <selection activeCell="A3" sqref="A3"/>
    </sheetView>
  </sheetViews>
  <sheetFormatPr defaultColWidth="8.7265625" defaultRowHeight="14.5" x14ac:dyDescent="0.35"/>
  <cols>
    <col min="1" max="1" width="15.08984375" style="39" bestFit="1" customWidth="1"/>
    <col min="2" max="2" width="41.54296875" style="39" bestFit="1" customWidth="1"/>
    <col min="3" max="3" width="11.54296875" style="39" bestFit="1" customWidth="1"/>
    <col min="4" max="4" width="14.7265625" style="1" bestFit="1" customWidth="1"/>
    <col min="5" max="5" width="22.1796875" style="1" bestFit="1" customWidth="1"/>
    <col min="6" max="6" width="32.81640625" style="39" bestFit="1" customWidth="1"/>
    <col min="7" max="8" width="24.7265625"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23" x14ac:dyDescent="0.35">
      <c r="A2" s="190" t="s">
        <v>761</v>
      </c>
      <c r="B2" s="148" t="s">
        <v>762</v>
      </c>
      <c r="C2" s="148" t="s">
        <v>24</v>
      </c>
      <c r="D2" s="149"/>
      <c r="E2" s="154"/>
      <c r="F2" s="151" t="s">
        <v>772</v>
      </c>
      <c r="G2" s="151"/>
      <c r="H2" s="151"/>
    </row>
    <row r="3" spans="1:8" s="5" customFormat="1" ht="34.5" x14ac:dyDescent="0.35">
      <c r="A3" s="148"/>
      <c r="B3" s="148"/>
      <c r="C3" s="148"/>
      <c r="D3" s="149"/>
      <c r="E3" s="154"/>
      <c r="F3" s="151" t="s">
        <v>771</v>
      </c>
      <c r="G3" s="151"/>
      <c r="H3" s="151"/>
    </row>
    <row r="4" spans="1:8" s="5" customFormat="1" ht="34.5" x14ac:dyDescent="0.35">
      <c r="A4" s="148"/>
      <c r="B4" s="148"/>
      <c r="C4" s="148"/>
      <c r="D4" s="149"/>
      <c r="E4" s="154"/>
      <c r="F4" s="151" t="s">
        <v>782</v>
      </c>
      <c r="G4" s="151"/>
      <c r="H4" s="151"/>
    </row>
    <row r="5" spans="1:8" s="5" customFormat="1" ht="23" x14ac:dyDescent="0.35">
      <c r="A5" s="148"/>
      <c r="B5" s="148"/>
      <c r="C5" s="148"/>
      <c r="D5" s="149"/>
      <c r="E5" s="154"/>
      <c r="F5" s="151" t="s">
        <v>783</v>
      </c>
      <c r="G5" s="148"/>
      <c r="H5" s="151"/>
    </row>
    <row r="6" spans="1:8" s="5" customFormat="1" ht="12" x14ac:dyDescent="0.35">
      <c r="A6" s="148"/>
      <c r="B6" s="148"/>
      <c r="C6" s="148"/>
      <c r="D6" s="149"/>
      <c r="E6" s="154"/>
      <c r="F6" s="148"/>
      <c r="G6" s="148"/>
      <c r="H6" s="148"/>
    </row>
    <row r="7" spans="1:8" s="5" customFormat="1" ht="12" x14ac:dyDescent="0.35">
      <c r="A7" s="148"/>
      <c r="B7" s="148"/>
      <c r="C7" s="148"/>
      <c r="D7" s="149"/>
      <c r="E7" s="154"/>
      <c r="F7" s="151"/>
      <c r="G7" s="148"/>
      <c r="H7" s="148"/>
    </row>
    <row r="8" spans="1:8" s="5" customFormat="1" ht="12" x14ac:dyDescent="0.35">
      <c r="A8" s="148"/>
      <c r="B8" s="148"/>
      <c r="C8" s="148"/>
      <c r="D8" s="149"/>
      <c r="E8" s="154"/>
      <c r="F8" s="151"/>
      <c r="G8" s="148"/>
      <c r="H8" s="148"/>
    </row>
    <row r="9" spans="1:8" s="5" customFormat="1" ht="12" x14ac:dyDescent="0.35">
      <c r="A9" s="148"/>
      <c r="B9" s="148"/>
      <c r="C9" s="148"/>
      <c r="D9" s="149"/>
      <c r="E9" s="154"/>
      <c r="F9" s="148"/>
      <c r="G9" s="151"/>
      <c r="H9" s="148"/>
    </row>
    <row r="10" spans="1:8" s="5" customFormat="1" ht="12" x14ac:dyDescent="0.35">
      <c r="A10" s="148"/>
      <c r="B10" s="148"/>
      <c r="C10" s="148"/>
      <c r="D10" s="149"/>
      <c r="E10" s="154"/>
      <c r="F10" s="148"/>
      <c r="G10" s="148"/>
      <c r="H10" s="148"/>
    </row>
    <row r="11" spans="1:8" s="5" customFormat="1" ht="12" x14ac:dyDescent="0.35">
      <c r="A11" s="148"/>
      <c r="B11" s="148"/>
      <c r="C11" s="148"/>
      <c r="D11" s="149"/>
      <c r="E11" s="154"/>
      <c r="F11" s="151"/>
      <c r="G11" s="148"/>
      <c r="H11" s="148"/>
    </row>
    <row r="12" spans="1:8" s="5" customFormat="1" ht="12" x14ac:dyDescent="0.35">
      <c r="A12" s="148"/>
      <c r="B12" s="148"/>
      <c r="C12" s="148"/>
      <c r="D12" s="149"/>
      <c r="E12" s="181"/>
      <c r="F12" s="148"/>
      <c r="G12" s="148"/>
      <c r="H12" s="148"/>
    </row>
    <row r="13" spans="1:8" s="5" customFormat="1" ht="12" x14ac:dyDescent="0.35">
      <c r="A13" s="148"/>
      <c r="B13" s="148"/>
      <c r="C13" s="148"/>
      <c r="D13" s="149"/>
      <c r="E13" s="182"/>
      <c r="F13" s="148"/>
      <c r="G13" s="148"/>
      <c r="H13" s="148"/>
    </row>
    <row r="14" spans="1:8" s="5" customFormat="1" ht="12" x14ac:dyDescent="0.35">
      <c r="A14" s="148"/>
      <c r="B14" s="148"/>
      <c r="C14" s="148"/>
      <c r="D14" s="149"/>
      <c r="E14" s="182"/>
      <c r="F14" s="151"/>
      <c r="G14" s="148"/>
      <c r="H14" s="148"/>
    </row>
    <row r="15" spans="1:8" s="5" customFormat="1" ht="12" x14ac:dyDescent="0.35">
      <c r="A15" s="148"/>
      <c r="B15" s="148"/>
      <c r="C15" s="148"/>
      <c r="D15" s="149"/>
      <c r="E15" s="182"/>
      <c r="F15" s="148"/>
      <c r="G15" s="148"/>
      <c r="H15" s="148"/>
    </row>
    <row r="16" spans="1:8" s="5" customFormat="1" ht="12" x14ac:dyDescent="0.35">
      <c r="A16" s="148"/>
      <c r="B16" s="148"/>
      <c r="C16" s="148"/>
      <c r="D16" s="149"/>
      <c r="E16" s="182"/>
      <c r="F16" s="148"/>
      <c r="G16" s="148"/>
      <c r="H16" s="148"/>
    </row>
    <row r="17" spans="1:8" s="5" customFormat="1" ht="12" x14ac:dyDescent="0.35">
      <c r="A17" s="148"/>
      <c r="B17" s="148"/>
      <c r="C17" s="148"/>
      <c r="D17" s="149"/>
      <c r="E17" s="182"/>
      <c r="F17" s="148"/>
      <c r="G17" s="148"/>
      <c r="H17" s="148"/>
    </row>
    <row r="18" spans="1:8" s="5" customFormat="1" ht="12" x14ac:dyDescent="0.35">
      <c r="A18" s="148"/>
      <c r="B18" s="148"/>
      <c r="C18" s="148"/>
      <c r="D18" s="149"/>
      <c r="E18" s="154"/>
      <c r="F18" s="148"/>
      <c r="G18" s="148"/>
      <c r="H18" s="148"/>
    </row>
    <row r="19" spans="1:8" s="5" customFormat="1" ht="12" x14ac:dyDescent="0.35">
      <c r="A19" s="148"/>
      <c r="B19" s="148"/>
      <c r="C19" s="148"/>
      <c r="D19" s="149"/>
      <c r="E19" s="182"/>
      <c r="F19" s="148"/>
      <c r="G19" s="148"/>
      <c r="H19" s="148"/>
    </row>
    <row r="20" spans="1:8" s="5" customFormat="1" ht="12" x14ac:dyDescent="0.35">
      <c r="A20" s="148"/>
      <c r="B20" s="148"/>
      <c r="C20" s="148"/>
      <c r="D20" s="149"/>
      <c r="E20" s="182"/>
      <c r="F20" s="148"/>
      <c r="G20" s="148"/>
      <c r="H20" s="148"/>
    </row>
    <row r="21" spans="1:8" s="5" customFormat="1" ht="12" x14ac:dyDescent="0.35">
      <c r="A21" s="148"/>
      <c r="B21" s="148"/>
      <c r="C21" s="148"/>
      <c r="D21" s="149"/>
      <c r="E21" s="182"/>
      <c r="F21" s="183"/>
      <c r="G21" s="148"/>
      <c r="H21" s="148"/>
    </row>
    <row r="22" spans="1:8" s="5" customFormat="1" ht="12" x14ac:dyDescent="0.35">
      <c r="A22" s="148"/>
      <c r="B22" s="148"/>
      <c r="C22" s="148"/>
      <c r="D22" s="149"/>
      <c r="E22" s="182"/>
      <c r="F22" s="148"/>
      <c r="G22" s="148"/>
      <c r="H22" s="148"/>
    </row>
    <row r="23" spans="1:8" s="5" customFormat="1" ht="12" x14ac:dyDescent="0.35">
      <c r="A23" s="148"/>
      <c r="B23" s="148"/>
      <c r="C23" s="148"/>
      <c r="D23" s="149"/>
      <c r="E23" s="182"/>
      <c r="F23" s="148"/>
      <c r="G23" s="148"/>
      <c r="H23" s="148"/>
    </row>
    <row r="24" spans="1:8" s="5" customFormat="1" ht="12" x14ac:dyDescent="0.35">
      <c r="A24" s="148"/>
      <c r="B24" s="148"/>
      <c r="C24" s="148"/>
      <c r="D24" s="149"/>
      <c r="E24" s="182"/>
      <c r="F24" s="148"/>
      <c r="G24" s="148"/>
      <c r="H24" s="148"/>
    </row>
    <row r="25" spans="1:8" s="5" customFormat="1" ht="12" x14ac:dyDescent="0.35">
      <c r="A25" s="148"/>
      <c r="B25" s="148"/>
      <c r="C25" s="148"/>
      <c r="D25" s="149"/>
      <c r="E25" s="154"/>
      <c r="F25" s="148"/>
      <c r="G25" s="148"/>
      <c r="H25" s="148"/>
    </row>
  </sheetData>
  <autoFilter ref="A1:H4" xr:uid="{B5C5BC42-9090-42A9-A1A7-09505EF6244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0615-8604-4367-9EF1-ABA01FB33E7A}">
  <dimension ref="A1:H22"/>
  <sheetViews>
    <sheetView showGridLines="0" tabSelected="1" workbookViewId="0">
      <selection activeCell="E3" sqref="E3"/>
    </sheetView>
  </sheetViews>
  <sheetFormatPr defaultColWidth="8.7265625" defaultRowHeight="14.5" x14ac:dyDescent="0.35"/>
  <cols>
    <col min="1" max="1" width="14" style="39" bestFit="1" customWidth="1"/>
    <col min="2" max="2" width="41.54296875" style="39" bestFit="1" customWidth="1"/>
    <col min="3" max="3" width="11.54296875" style="39" bestFit="1" customWidth="1"/>
    <col min="4" max="4" width="14.7265625" style="1" bestFit="1" customWidth="1"/>
    <col min="5" max="5" width="22.1796875" style="1" bestFit="1" customWidth="1"/>
    <col min="6" max="6" width="32.81640625" style="39" bestFit="1" customWidth="1"/>
    <col min="7" max="8" width="24.7265625"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12" x14ac:dyDescent="0.35">
      <c r="A2" s="148" t="s">
        <v>752</v>
      </c>
      <c r="B2" s="148" t="s">
        <v>754</v>
      </c>
      <c r="C2" s="148" t="s">
        <v>333</v>
      </c>
      <c r="D2" s="149"/>
      <c r="E2" s="154"/>
      <c r="F2" s="151" t="s">
        <v>755</v>
      </c>
      <c r="G2" s="151"/>
      <c r="H2" s="151"/>
    </row>
    <row r="3" spans="1:8" s="5" customFormat="1" ht="207" x14ac:dyDescent="0.35">
      <c r="A3" s="148" t="s">
        <v>752</v>
      </c>
      <c r="B3" s="148" t="s">
        <v>753</v>
      </c>
      <c r="C3" s="148" t="s">
        <v>113</v>
      </c>
      <c r="D3" s="149" t="s">
        <v>56</v>
      </c>
      <c r="E3" s="154"/>
      <c r="F3" s="151" t="s">
        <v>846</v>
      </c>
      <c r="G3" s="151" t="s">
        <v>819</v>
      </c>
      <c r="H3" s="151"/>
    </row>
    <row r="4" spans="1:8" s="5" customFormat="1" ht="12" x14ac:dyDescent="0.35">
      <c r="A4" s="148" t="s">
        <v>756</v>
      </c>
      <c r="B4" s="148" t="s">
        <v>757</v>
      </c>
      <c r="C4" s="148" t="s">
        <v>211</v>
      </c>
      <c r="D4" s="149">
        <v>45977</v>
      </c>
      <c r="E4" s="154"/>
      <c r="F4" s="151" t="s">
        <v>767</v>
      </c>
      <c r="G4" s="148"/>
      <c r="H4" s="148"/>
    </row>
    <row r="5" spans="1:8" s="5" customFormat="1" ht="46" x14ac:dyDescent="0.35">
      <c r="A5" s="148" t="s">
        <v>756</v>
      </c>
      <c r="B5" s="148" t="s">
        <v>758</v>
      </c>
      <c r="C5" s="148" t="s">
        <v>211</v>
      </c>
      <c r="D5" s="149"/>
      <c r="E5" s="154"/>
      <c r="F5" s="151" t="s">
        <v>804</v>
      </c>
      <c r="G5" s="148"/>
      <c r="H5" s="148"/>
    </row>
    <row r="6" spans="1:8" s="5" customFormat="1" ht="138" x14ac:dyDescent="0.35">
      <c r="A6" s="148" t="s">
        <v>756</v>
      </c>
      <c r="B6" s="148" t="s">
        <v>788</v>
      </c>
      <c r="C6" s="148" t="s">
        <v>211</v>
      </c>
      <c r="D6" s="149"/>
      <c r="E6" s="154">
        <v>32</v>
      </c>
      <c r="F6" s="151" t="s">
        <v>845</v>
      </c>
      <c r="G6" s="151"/>
      <c r="H6" s="148"/>
    </row>
    <row r="7" spans="1:8" s="5" customFormat="1" ht="46" x14ac:dyDescent="0.35">
      <c r="A7" s="148" t="s">
        <v>756</v>
      </c>
      <c r="B7" s="148" t="s">
        <v>843</v>
      </c>
      <c r="C7" s="148"/>
      <c r="D7" s="149"/>
      <c r="E7" s="154"/>
      <c r="F7" s="151" t="s">
        <v>844</v>
      </c>
      <c r="G7" s="148"/>
      <c r="H7" s="148"/>
    </row>
    <row r="8" spans="1:8" s="5" customFormat="1" ht="12" x14ac:dyDescent="0.35">
      <c r="A8" s="148"/>
      <c r="B8" s="148"/>
      <c r="C8" s="148"/>
      <c r="D8" s="149"/>
      <c r="E8" s="154"/>
      <c r="F8" s="151"/>
      <c r="G8" s="148"/>
      <c r="H8" s="148"/>
    </row>
    <row r="9" spans="1:8" s="5" customFormat="1" ht="12" x14ac:dyDescent="0.35">
      <c r="A9" s="148"/>
      <c r="B9" s="148"/>
      <c r="C9" s="148"/>
      <c r="D9" s="149"/>
      <c r="E9" s="181"/>
      <c r="F9" s="148"/>
      <c r="G9" s="148"/>
      <c r="H9" s="148"/>
    </row>
    <row r="10" spans="1:8" s="5" customFormat="1" ht="12" x14ac:dyDescent="0.35">
      <c r="A10" s="148"/>
      <c r="B10" s="148"/>
      <c r="C10" s="148"/>
      <c r="D10" s="149"/>
      <c r="E10" s="182"/>
      <c r="F10" s="148"/>
      <c r="G10" s="148"/>
      <c r="H10" s="148"/>
    </row>
    <row r="11" spans="1:8" s="5" customFormat="1" ht="12" x14ac:dyDescent="0.35">
      <c r="A11" s="148"/>
      <c r="B11" s="148"/>
      <c r="C11" s="148"/>
      <c r="D11" s="149"/>
      <c r="E11" s="182"/>
      <c r="F11" s="151"/>
      <c r="G11" s="148"/>
      <c r="H11" s="148"/>
    </row>
    <row r="12" spans="1:8" s="5" customFormat="1" ht="12" x14ac:dyDescent="0.35">
      <c r="A12" s="148"/>
      <c r="B12" s="148"/>
      <c r="C12" s="148"/>
      <c r="D12" s="149"/>
      <c r="E12" s="182"/>
      <c r="F12" s="148"/>
      <c r="G12" s="148"/>
      <c r="H12" s="148"/>
    </row>
    <row r="13" spans="1:8" s="5" customFormat="1" ht="12" x14ac:dyDescent="0.35">
      <c r="A13" s="148"/>
      <c r="B13" s="148"/>
      <c r="C13" s="148"/>
      <c r="D13" s="149"/>
      <c r="E13" s="182"/>
      <c r="F13" s="148"/>
      <c r="G13" s="148"/>
      <c r="H13" s="148"/>
    </row>
    <row r="14" spans="1:8" s="5" customFormat="1" ht="12" x14ac:dyDescent="0.35">
      <c r="A14" s="148"/>
      <c r="B14" s="148"/>
      <c r="C14" s="148"/>
      <c r="D14" s="149"/>
      <c r="E14" s="182"/>
      <c r="F14" s="148"/>
      <c r="G14" s="148"/>
      <c r="H14" s="148"/>
    </row>
    <row r="15" spans="1:8" s="5" customFormat="1" ht="12" x14ac:dyDescent="0.35">
      <c r="A15" s="148"/>
      <c r="B15" s="148"/>
      <c r="C15" s="148"/>
      <c r="D15" s="149"/>
      <c r="E15" s="154"/>
      <c r="F15" s="148"/>
      <c r="G15" s="148"/>
      <c r="H15" s="148"/>
    </row>
    <row r="16" spans="1:8" s="5" customFormat="1" ht="12" x14ac:dyDescent="0.35">
      <c r="A16" s="148"/>
      <c r="B16" s="148"/>
      <c r="C16" s="148"/>
      <c r="D16" s="149"/>
      <c r="E16" s="182"/>
      <c r="F16" s="148"/>
      <c r="G16" s="148"/>
      <c r="H16" s="148"/>
    </row>
    <row r="17" spans="1:8" s="5" customFormat="1" ht="12" x14ac:dyDescent="0.35">
      <c r="A17" s="148"/>
      <c r="B17" s="148"/>
      <c r="C17" s="148"/>
      <c r="D17" s="149"/>
      <c r="E17" s="182"/>
      <c r="F17" s="148"/>
      <c r="G17" s="148"/>
      <c r="H17" s="148"/>
    </row>
    <row r="18" spans="1:8" s="5" customFormat="1" ht="12" x14ac:dyDescent="0.35">
      <c r="A18" s="148"/>
      <c r="B18" s="148"/>
      <c r="C18" s="148"/>
      <c r="D18" s="149"/>
      <c r="E18" s="182"/>
      <c r="F18" s="183"/>
      <c r="G18" s="148"/>
      <c r="H18" s="148"/>
    </row>
    <row r="19" spans="1:8" s="5" customFormat="1" ht="12" x14ac:dyDescent="0.35">
      <c r="A19" s="148"/>
      <c r="B19" s="148"/>
      <c r="C19" s="148"/>
      <c r="D19" s="149"/>
      <c r="E19" s="182"/>
      <c r="F19" s="148"/>
      <c r="G19" s="148"/>
      <c r="H19" s="148"/>
    </row>
    <row r="20" spans="1:8" s="5" customFormat="1" ht="12" x14ac:dyDescent="0.35">
      <c r="A20" s="148"/>
      <c r="B20" s="148"/>
      <c r="C20" s="148"/>
      <c r="D20" s="149"/>
      <c r="E20" s="182"/>
      <c r="F20" s="148"/>
      <c r="G20" s="148"/>
      <c r="H20" s="148"/>
    </row>
    <row r="21" spans="1:8" s="5" customFormat="1" ht="12" x14ac:dyDescent="0.35">
      <c r="A21" s="148"/>
      <c r="B21" s="148"/>
      <c r="C21" s="148"/>
      <c r="D21" s="149"/>
      <c r="E21" s="182"/>
      <c r="F21" s="148"/>
      <c r="G21" s="148"/>
      <c r="H21" s="148"/>
    </row>
    <row r="22" spans="1:8" s="5" customFormat="1" ht="12" x14ac:dyDescent="0.35">
      <c r="A22" s="148"/>
      <c r="B22" s="148"/>
      <c r="C22" s="148"/>
      <c r="D22" s="149"/>
      <c r="E22" s="154"/>
      <c r="F22" s="148"/>
      <c r="G22" s="148"/>
      <c r="H22" s="148"/>
    </row>
  </sheetData>
  <autoFilter ref="A1:H3" xr:uid="{B5C5BC42-9090-42A9-A1A7-09505EF6244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CCEDA-FD4A-4829-ACB6-EBF00E68D5F6}">
  <dimension ref="A1:H25"/>
  <sheetViews>
    <sheetView showGridLines="0" workbookViewId="0">
      <selection activeCell="F2" sqref="F2"/>
    </sheetView>
  </sheetViews>
  <sheetFormatPr defaultColWidth="8.7265625" defaultRowHeight="14.5" x14ac:dyDescent="0.35"/>
  <cols>
    <col min="1" max="1" width="14" style="39" bestFit="1" customWidth="1"/>
    <col min="2" max="2" width="41.54296875" style="39" bestFit="1" customWidth="1"/>
    <col min="3" max="3" width="11.54296875" style="39" bestFit="1" customWidth="1"/>
    <col min="4" max="4" width="14.7265625" style="1" bestFit="1" customWidth="1"/>
    <col min="5" max="5" width="22.1796875" style="1" bestFit="1" customWidth="1"/>
    <col min="6" max="6" width="32.81640625" style="39" bestFit="1" customWidth="1"/>
    <col min="7" max="8" width="24.7265625"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69" x14ac:dyDescent="0.35">
      <c r="A2" s="148" t="s">
        <v>820</v>
      </c>
      <c r="B2" s="148" t="s">
        <v>647</v>
      </c>
      <c r="C2" s="148" t="s">
        <v>113</v>
      </c>
      <c r="D2" s="149">
        <v>46009</v>
      </c>
      <c r="E2" s="154">
        <v>185</v>
      </c>
      <c r="F2" s="151" t="s">
        <v>821</v>
      </c>
      <c r="G2" s="151"/>
      <c r="H2" s="151"/>
    </row>
    <row r="3" spans="1:8" s="5" customFormat="1" ht="12" x14ac:dyDescent="0.35">
      <c r="A3" s="148"/>
      <c r="B3" s="148"/>
      <c r="C3" s="148"/>
      <c r="D3" s="149"/>
      <c r="E3" s="154"/>
      <c r="F3" s="148"/>
      <c r="G3" s="151"/>
      <c r="H3" s="151"/>
    </row>
    <row r="4" spans="1:8" s="5" customFormat="1" ht="12" x14ac:dyDescent="0.35">
      <c r="A4" s="148"/>
      <c r="B4" s="148"/>
      <c r="C4" s="148"/>
      <c r="D4" s="149"/>
      <c r="E4" s="154"/>
      <c r="F4" s="151"/>
      <c r="G4" s="151"/>
      <c r="H4" s="151"/>
    </row>
    <row r="5" spans="1:8" s="5" customFormat="1" ht="12" x14ac:dyDescent="0.35">
      <c r="A5" s="148"/>
      <c r="B5" s="148"/>
      <c r="C5" s="148"/>
      <c r="D5" s="149"/>
      <c r="E5" s="154"/>
      <c r="F5" s="151"/>
      <c r="G5" s="148"/>
      <c r="H5" s="151"/>
    </row>
    <row r="6" spans="1:8" s="5" customFormat="1" ht="12" x14ac:dyDescent="0.35">
      <c r="A6" s="148"/>
      <c r="B6" s="148"/>
      <c r="C6" s="148"/>
      <c r="D6" s="149"/>
      <c r="E6" s="154"/>
      <c r="F6" s="148"/>
      <c r="G6" s="148"/>
      <c r="H6" s="148"/>
    </row>
    <row r="7" spans="1:8" s="5" customFormat="1" ht="12" x14ac:dyDescent="0.35">
      <c r="A7" s="148"/>
      <c r="B7" s="148"/>
      <c r="C7" s="148"/>
      <c r="D7" s="149"/>
      <c r="E7" s="154"/>
      <c r="F7" s="151"/>
      <c r="G7" s="148"/>
      <c r="H7" s="148"/>
    </row>
    <row r="8" spans="1:8" s="5" customFormat="1" ht="12" x14ac:dyDescent="0.35">
      <c r="A8" s="148"/>
      <c r="B8" s="148"/>
      <c r="C8" s="148"/>
      <c r="D8" s="149"/>
      <c r="E8" s="154"/>
      <c r="F8" s="151"/>
      <c r="G8" s="148"/>
      <c r="H8" s="148"/>
    </row>
    <row r="9" spans="1:8" s="5" customFormat="1" ht="12" x14ac:dyDescent="0.35">
      <c r="A9" s="148"/>
      <c r="B9" s="148"/>
      <c r="C9" s="148"/>
      <c r="D9" s="149"/>
      <c r="E9" s="154"/>
      <c r="F9" s="148"/>
      <c r="G9" s="151"/>
      <c r="H9" s="148"/>
    </row>
    <row r="10" spans="1:8" s="5" customFormat="1" ht="12" x14ac:dyDescent="0.35">
      <c r="A10" s="148"/>
      <c r="B10" s="148"/>
      <c r="C10" s="148"/>
      <c r="D10" s="149"/>
      <c r="E10" s="154"/>
      <c r="F10" s="148"/>
      <c r="G10" s="148"/>
      <c r="H10" s="148"/>
    </row>
    <row r="11" spans="1:8" s="5" customFormat="1" ht="12" x14ac:dyDescent="0.35">
      <c r="A11" s="148"/>
      <c r="B11" s="148"/>
      <c r="C11" s="148"/>
      <c r="D11" s="149"/>
      <c r="E11" s="154"/>
      <c r="F11" s="151"/>
      <c r="G11" s="148"/>
      <c r="H11" s="148"/>
    </row>
    <row r="12" spans="1:8" s="5" customFormat="1" ht="12" x14ac:dyDescent="0.35">
      <c r="A12" s="148"/>
      <c r="B12" s="148"/>
      <c r="C12" s="148"/>
      <c r="D12" s="149"/>
      <c r="E12" s="181"/>
      <c r="F12" s="148"/>
      <c r="G12" s="148"/>
      <c r="H12" s="148"/>
    </row>
    <row r="13" spans="1:8" s="5" customFormat="1" ht="12" x14ac:dyDescent="0.35">
      <c r="A13" s="148"/>
      <c r="B13" s="148"/>
      <c r="C13" s="148"/>
      <c r="D13" s="149"/>
      <c r="E13" s="182"/>
      <c r="F13" s="148"/>
      <c r="G13" s="148"/>
      <c r="H13" s="148"/>
    </row>
    <row r="14" spans="1:8" s="5" customFormat="1" ht="12" x14ac:dyDescent="0.35">
      <c r="A14" s="148"/>
      <c r="B14" s="148"/>
      <c r="C14" s="148"/>
      <c r="D14" s="149"/>
      <c r="E14" s="182"/>
      <c r="F14" s="151"/>
      <c r="G14" s="148"/>
      <c r="H14" s="148"/>
    </row>
    <row r="15" spans="1:8" s="5" customFormat="1" ht="12" x14ac:dyDescent="0.35">
      <c r="A15" s="148"/>
      <c r="B15" s="148"/>
      <c r="C15" s="148"/>
      <c r="D15" s="149"/>
      <c r="E15" s="182"/>
      <c r="F15" s="148"/>
      <c r="G15" s="148"/>
      <c r="H15" s="148"/>
    </row>
    <row r="16" spans="1:8" s="5" customFormat="1" ht="12" x14ac:dyDescent="0.35">
      <c r="A16" s="148"/>
      <c r="B16" s="148"/>
      <c r="C16" s="148"/>
      <c r="D16" s="149"/>
      <c r="E16" s="182"/>
      <c r="F16" s="148"/>
      <c r="G16" s="148"/>
      <c r="H16" s="148"/>
    </row>
    <row r="17" spans="1:8" s="5" customFormat="1" ht="12" x14ac:dyDescent="0.35">
      <c r="A17" s="148"/>
      <c r="B17" s="148"/>
      <c r="C17" s="148"/>
      <c r="D17" s="149"/>
      <c r="E17" s="182"/>
      <c r="F17" s="148"/>
      <c r="G17" s="148"/>
      <c r="H17" s="148"/>
    </row>
    <row r="18" spans="1:8" s="5" customFormat="1" ht="12" x14ac:dyDescent="0.35">
      <c r="A18" s="148"/>
      <c r="B18" s="148"/>
      <c r="C18" s="148"/>
      <c r="D18" s="149"/>
      <c r="E18" s="154"/>
      <c r="F18" s="148"/>
      <c r="G18" s="148"/>
      <c r="H18" s="148"/>
    </row>
    <row r="19" spans="1:8" s="5" customFormat="1" ht="12" x14ac:dyDescent="0.35">
      <c r="A19" s="148"/>
      <c r="B19" s="148"/>
      <c r="C19" s="148"/>
      <c r="D19" s="149"/>
      <c r="E19" s="182"/>
      <c r="F19" s="148"/>
      <c r="G19" s="148"/>
      <c r="H19" s="148"/>
    </row>
    <row r="20" spans="1:8" s="5" customFormat="1" ht="12" x14ac:dyDescent="0.35">
      <c r="A20" s="148"/>
      <c r="B20" s="148"/>
      <c r="C20" s="148"/>
      <c r="D20" s="149"/>
      <c r="E20" s="182"/>
      <c r="F20" s="148"/>
      <c r="G20" s="148"/>
      <c r="H20" s="148"/>
    </row>
    <row r="21" spans="1:8" s="5" customFormat="1" ht="12" x14ac:dyDescent="0.35">
      <c r="A21" s="148"/>
      <c r="B21" s="148"/>
      <c r="C21" s="148"/>
      <c r="D21" s="149"/>
      <c r="E21" s="182"/>
      <c r="F21" s="183"/>
      <c r="G21" s="148"/>
      <c r="H21" s="148"/>
    </row>
    <row r="22" spans="1:8" s="5" customFormat="1" ht="12" x14ac:dyDescent="0.35">
      <c r="A22" s="148"/>
      <c r="B22" s="148"/>
      <c r="C22" s="148"/>
      <c r="D22" s="149"/>
      <c r="E22" s="182"/>
      <c r="F22" s="148"/>
      <c r="G22" s="148"/>
      <c r="H22" s="148"/>
    </row>
    <row r="23" spans="1:8" s="5" customFormat="1" ht="12" x14ac:dyDescent="0.35">
      <c r="A23" s="148"/>
      <c r="B23" s="148"/>
      <c r="C23" s="148"/>
      <c r="D23" s="149"/>
      <c r="E23" s="182"/>
      <c r="F23" s="148"/>
      <c r="G23" s="148"/>
      <c r="H23" s="148"/>
    </row>
    <row r="24" spans="1:8" s="5" customFormat="1" ht="12" x14ac:dyDescent="0.35">
      <c r="A24" s="148"/>
      <c r="B24" s="148"/>
      <c r="C24" s="148"/>
      <c r="D24" s="149"/>
      <c r="E24" s="182"/>
      <c r="F24" s="148"/>
      <c r="G24" s="148"/>
      <c r="H24" s="148"/>
    </row>
    <row r="25" spans="1:8" s="5" customFormat="1" ht="12" x14ac:dyDescent="0.35">
      <c r="A25" s="148"/>
      <c r="B25" s="148"/>
      <c r="C25" s="148"/>
      <c r="D25" s="149"/>
      <c r="E25" s="154"/>
      <c r="F25" s="148"/>
      <c r="G25" s="148"/>
      <c r="H25" s="148"/>
    </row>
  </sheetData>
  <autoFilter ref="A1:H4" xr:uid="{B5C5BC42-9090-42A9-A1A7-09505EF6244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3B34F-F8F3-4751-9BE6-A035DE3F34A4}">
  <dimension ref="A1:H15"/>
  <sheetViews>
    <sheetView showGridLines="0" topLeftCell="A2" workbookViewId="0">
      <selection activeCell="C2" sqref="C2:C15"/>
    </sheetView>
  </sheetViews>
  <sheetFormatPr defaultColWidth="8.7265625" defaultRowHeight="14.5" x14ac:dyDescent="0.35"/>
  <cols>
    <col min="1" max="1" width="14" style="39" bestFit="1" customWidth="1"/>
    <col min="2" max="2" width="41.54296875" style="39" bestFit="1" customWidth="1"/>
    <col min="3" max="3" width="11.54296875" style="39" bestFit="1" customWidth="1"/>
    <col min="4" max="4" width="15.1796875" style="1" bestFit="1" customWidth="1"/>
    <col min="5" max="5" width="22.1796875" style="1" bestFit="1" customWidth="1"/>
    <col min="6" max="6" width="32.81640625" style="39" bestFit="1" customWidth="1"/>
    <col min="7" max="7" width="19.453125" style="39" bestFit="1" customWidth="1"/>
    <col min="8" max="8" width="21.453125"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138" x14ac:dyDescent="0.35">
      <c r="A2" s="148" t="s">
        <v>608</v>
      </c>
      <c r="B2" s="148" t="s">
        <v>609</v>
      </c>
      <c r="C2" s="180" t="s">
        <v>11</v>
      </c>
      <c r="D2" s="149"/>
      <c r="E2" s="154">
        <v>68</v>
      </c>
      <c r="F2" s="151" t="s">
        <v>729</v>
      </c>
      <c r="G2" s="151" t="s">
        <v>708</v>
      </c>
      <c r="H2" s="151" t="s">
        <v>709</v>
      </c>
    </row>
    <row r="3" spans="1:8" s="5" customFormat="1" ht="69" x14ac:dyDescent="0.35">
      <c r="A3" s="148" t="s">
        <v>608</v>
      </c>
      <c r="B3" s="148" t="s">
        <v>658</v>
      </c>
      <c r="C3" s="148" t="s">
        <v>21</v>
      </c>
      <c r="D3" s="149">
        <v>45937</v>
      </c>
      <c r="E3" s="154"/>
      <c r="F3" s="151" t="s">
        <v>730</v>
      </c>
      <c r="G3" s="151"/>
      <c r="H3" s="151"/>
    </row>
    <row r="4" spans="1:8" s="5" customFormat="1" ht="57.5" x14ac:dyDescent="0.35">
      <c r="A4" s="148" t="s">
        <v>71</v>
      </c>
      <c r="B4" s="148" t="s">
        <v>619</v>
      </c>
      <c r="C4" s="180" t="s">
        <v>11</v>
      </c>
      <c r="D4" s="149"/>
      <c r="E4" s="154"/>
      <c r="F4" s="151" t="s">
        <v>648</v>
      </c>
      <c r="G4" s="148"/>
      <c r="H4" s="151"/>
    </row>
    <row r="5" spans="1:8" s="5" customFormat="1" ht="57.5" x14ac:dyDescent="0.35">
      <c r="A5" s="148" t="s">
        <v>71</v>
      </c>
      <c r="B5" s="148" t="s">
        <v>620</v>
      </c>
      <c r="C5" s="148" t="s">
        <v>248</v>
      </c>
      <c r="D5" s="149">
        <v>45889</v>
      </c>
      <c r="E5" s="154"/>
      <c r="F5" s="151" t="s">
        <v>707</v>
      </c>
      <c r="G5" s="148"/>
      <c r="H5" s="148"/>
    </row>
    <row r="6" spans="1:8" s="5" customFormat="1" ht="34.5" x14ac:dyDescent="0.35">
      <c r="A6" s="148" t="s">
        <v>71</v>
      </c>
      <c r="B6" s="148" t="s">
        <v>686</v>
      </c>
      <c r="C6" s="148" t="s">
        <v>21</v>
      </c>
      <c r="D6" s="149">
        <v>45917</v>
      </c>
      <c r="E6" s="154">
        <v>144</v>
      </c>
      <c r="F6" s="151" t="s">
        <v>706</v>
      </c>
      <c r="G6" s="148"/>
      <c r="H6" s="148"/>
    </row>
    <row r="7" spans="1:8" s="5" customFormat="1" ht="184" x14ac:dyDescent="0.35">
      <c r="A7" s="148" t="s">
        <v>367</v>
      </c>
      <c r="B7" s="148" t="s">
        <v>649</v>
      </c>
      <c r="C7" s="148" t="s">
        <v>21</v>
      </c>
      <c r="D7" s="149">
        <v>45924</v>
      </c>
      <c r="E7" s="154"/>
      <c r="F7" s="151" t="s">
        <v>732</v>
      </c>
      <c r="G7" s="151" t="s">
        <v>704</v>
      </c>
      <c r="H7" s="151" t="s">
        <v>731</v>
      </c>
    </row>
    <row r="8" spans="1:8" s="5" customFormat="1" ht="92" x14ac:dyDescent="0.35">
      <c r="A8" s="148" t="s">
        <v>687</v>
      </c>
      <c r="B8" s="148" t="s">
        <v>650</v>
      </c>
      <c r="C8" s="148" t="s">
        <v>24</v>
      </c>
      <c r="D8" s="149">
        <v>45933</v>
      </c>
      <c r="E8" s="154"/>
      <c r="F8" s="151" t="s">
        <v>734</v>
      </c>
      <c r="G8" s="148" t="s">
        <v>651</v>
      </c>
      <c r="H8" s="151" t="s">
        <v>652</v>
      </c>
    </row>
    <row r="9" spans="1:8" s="5" customFormat="1" ht="149.5" x14ac:dyDescent="0.35">
      <c r="A9" s="148" t="s">
        <v>626</v>
      </c>
      <c r="B9" s="148" t="s">
        <v>653</v>
      </c>
      <c r="C9" s="148" t="s">
        <v>21</v>
      </c>
      <c r="D9" s="149">
        <v>45926</v>
      </c>
      <c r="E9" s="154">
        <v>184</v>
      </c>
      <c r="F9" s="151" t="s">
        <v>735</v>
      </c>
      <c r="G9" s="148"/>
      <c r="H9" s="148"/>
    </row>
    <row r="10" spans="1:8" s="5" customFormat="1" ht="138" x14ac:dyDescent="0.35">
      <c r="A10" s="148" t="s">
        <v>621</v>
      </c>
      <c r="B10" s="148" t="s">
        <v>654</v>
      </c>
      <c r="C10" s="148" t="s">
        <v>248</v>
      </c>
      <c r="D10" s="149"/>
      <c r="E10" s="154">
        <v>144</v>
      </c>
      <c r="F10" s="151" t="s">
        <v>736</v>
      </c>
      <c r="G10" s="148"/>
      <c r="H10" s="148"/>
    </row>
    <row r="11" spans="1:8" s="5" customFormat="1" ht="92" x14ac:dyDescent="0.35">
      <c r="A11" s="148" t="s">
        <v>621</v>
      </c>
      <c r="B11" s="148" t="s">
        <v>655</v>
      </c>
      <c r="C11" s="148" t="s">
        <v>618</v>
      </c>
      <c r="D11" s="149">
        <v>45947</v>
      </c>
      <c r="E11" s="154"/>
      <c r="F11" s="151" t="s">
        <v>737</v>
      </c>
      <c r="G11" s="151" t="s">
        <v>738</v>
      </c>
      <c r="H11" s="148" t="s">
        <v>739</v>
      </c>
    </row>
    <row r="12" spans="1:8" s="5" customFormat="1" ht="12" x14ac:dyDescent="0.35">
      <c r="A12" s="148" t="s">
        <v>403</v>
      </c>
      <c r="B12" s="148" t="s">
        <v>688</v>
      </c>
      <c r="C12" s="148" t="s">
        <v>618</v>
      </c>
      <c r="D12" s="149"/>
      <c r="E12" s="154"/>
      <c r="F12" s="148" t="s">
        <v>689</v>
      </c>
      <c r="G12" s="148"/>
      <c r="H12" s="148"/>
    </row>
    <row r="13" spans="1:8" s="5" customFormat="1" ht="115" x14ac:dyDescent="0.35">
      <c r="A13" s="148" t="s">
        <v>656</v>
      </c>
      <c r="B13" s="148" t="s">
        <v>657</v>
      </c>
      <c r="C13" s="148" t="s">
        <v>61</v>
      </c>
      <c r="D13" s="149"/>
      <c r="E13" s="154">
        <v>224</v>
      </c>
      <c r="F13" s="151" t="s">
        <v>740</v>
      </c>
      <c r="G13" s="151" t="s">
        <v>661</v>
      </c>
      <c r="H13" s="151" t="s">
        <v>662</v>
      </c>
    </row>
    <row r="14" spans="1:8" s="5" customFormat="1" ht="46" x14ac:dyDescent="0.35">
      <c r="A14" s="148" t="s">
        <v>656</v>
      </c>
      <c r="B14" s="148" t="s">
        <v>710</v>
      </c>
      <c r="C14" s="148" t="s">
        <v>24</v>
      </c>
      <c r="D14" s="149"/>
      <c r="E14" s="154">
        <v>104</v>
      </c>
      <c r="F14" s="151" t="s">
        <v>711</v>
      </c>
      <c r="G14" s="148"/>
      <c r="H14" s="151" t="s">
        <v>712</v>
      </c>
    </row>
    <row r="15" spans="1:8" s="5" customFormat="1" ht="34.5" x14ac:dyDescent="0.35">
      <c r="A15" s="148" t="s">
        <v>367</v>
      </c>
      <c r="B15" s="148" t="s">
        <v>705</v>
      </c>
      <c r="C15" s="148" t="s">
        <v>21</v>
      </c>
      <c r="D15" s="149">
        <v>45943</v>
      </c>
      <c r="E15" s="154">
        <v>112</v>
      </c>
      <c r="F15" s="151" t="s">
        <v>733</v>
      </c>
      <c r="G15" s="148"/>
      <c r="H15" s="15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B00A-525E-4C05-BFD3-063D67B20842}">
  <dimension ref="A1:H10"/>
  <sheetViews>
    <sheetView showGridLines="0" workbookViewId="0">
      <selection activeCell="A2" sqref="A2"/>
    </sheetView>
  </sheetViews>
  <sheetFormatPr defaultColWidth="8.7265625" defaultRowHeight="14.5" x14ac:dyDescent="0.35"/>
  <cols>
    <col min="1" max="1" width="10.7265625" style="39" customWidth="1"/>
    <col min="2" max="2" width="41.54296875" style="39" bestFit="1" customWidth="1"/>
    <col min="3" max="3" width="11.54296875" style="39" bestFit="1" customWidth="1"/>
    <col min="4" max="4" width="8.1796875" style="1" bestFit="1" customWidth="1"/>
    <col min="5" max="5" width="19" style="1" bestFit="1" customWidth="1"/>
    <col min="6" max="6" width="34.26953125" style="39" customWidth="1"/>
    <col min="7" max="7" width="19.453125" style="39" bestFit="1" customWidth="1"/>
    <col min="8" max="8" width="18" style="39" customWidth="1"/>
    <col min="9" max="16384" width="8.7265625" style="39"/>
  </cols>
  <sheetData>
    <row r="1" spans="1:8" s="1" customFormat="1" ht="15" thickBot="1" x14ac:dyDescent="0.4">
      <c r="A1" s="2" t="s">
        <v>0</v>
      </c>
      <c r="B1" s="3" t="s">
        <v>1</v>
      </c>
      <c r="C1" s="3" t="s">
        <v>2</v>
      </c>
      <c r="D1" s="3" t="s">
        <v>3</v>
      </c>
      <c r="E1" s="3" t="s">
        <v>6</v>
      </c>
      <c r="F1" s="3" t="s">
        <v>7</v>
      </c>
      <c r="G1" s="3" t="s">
        <v>45</v>
      </c>
      <c r="H1" s="4" t="s">
        <v>46</v>
      </c>
    </row>
    <row r="2" spans="1:8" s="5" customFormat="1" ht="252" x14ac:dyDescent="0.35">
      <c r="A2" s="91" t="s">
        <v>419</v>
      </c>
      <c r="B2" s="7" t="s">
        <v>469</v>
      </c>
      <c r="C2" s="179" t="s">
        <v>11</v>
      </c>
      <c r="D2" s="65">
        <v>45814</v>
      </c>
      <c r="E2" s="8"/>
      <c r="F2" s="84" t="s">
        <v>675</v>
      </c>
      <c r="G2" s="84"/>
      <c r="H2" s="84"/>
    </row>
    <row r="3" spans="1:8" s="5" customFormat="1" ht="120" x14ac:dyDescent="0.35">
      <c r="A3" s="6" t="s">
        <v>419</v>
      </c>
      <c r="B3" s="7" t="s">
        <v>594</v>
      </c>
      <c r="C3" s="179" t="s">
        <v>11</v>
      </c>
      <c r="D3" s="65"/>
      <c r="E3" s="8"/>
      <c r="F3" s="84" t="s">
        <v>676</v>
      </c>
      <c r="G3" s="84"/>
      <c r="H3" s="9"/>
    </row>
    <row r="4" spans="1:8" s="5" customFormat="1" ht="252" x14ac:dyDescent="0.35">
      <c r="A4" s="6" t="s">
        <v>419</v>
      </c>
      <c r="B4" s="7" t="s">
        <v>423</v>
      </c>
      <c r="C4" s="179" t="s">
        <v>11</v>
      </c>
      <c r="D4" s="65"/>
      <c r="E4" s="8">
        <v>104</v>
      </c>
      <c r="F4" s="153" t="s">
        <v>699</v>
      </c>
      <c r="G4" s="84"/>
      <c r="H4" s="152"/>
    </row>
    <row r="5" spans="1:8" s="5" customFormat="1" ht="168" x14ac:dyDescent="0.35">
      <c r="A5" s="6" t="s">
        <v>419</v>
      </c>
      <c r="B5" s="7" t="s">
        <v>590</v>
      </c>
      <c r="C5" s="179" t="s">
        <v>11</v>
      </c>
      <c r="D5" s="65"/>
      <c r="E5" s="8"/>
      <c r="F5" s="84" t="s">
        <v>741</v>
      </c>
      <c r="G5" s="84"/>
      <c r="H5" s="9"/>
    </row>
    <row r="6" spans="1:8" s="5" customFormat="1" ht="180" x14ac:dyDescent="0.35">
      <c r="A6" s="6" t="s">
        <v>748</v>
      </c>
      <c r="B6" s="7" t="s">
        <v>591</v>
      </c>
      <c r="C6" s="7" t="s">
        <v>21</v>
      </c>
      <c r="D6" s="65">
        <v>46059</v>
      </c>
      <c r="E6" s="8"/>
      <c r="F6" s="84" t="s">
        <v>784</v>
      </c>
      <c r="G6" s="84"/>
      <c r="H6" s="9"/>
    </row>
    <row r="7" spans="1:8" s="5" customFormat="1" ht="12" x14ac:dyDescent="0.35">
      <c r="A7" s="6" t="s">
        <v>419</v>
      </c>
      <c r="B7" s="7" t="s">
        <v>763</v>
      </c>
      <c r="C7" s="7" t="s">
        <v>24</v>
      </c>
      <c r="D7" s="65">
        <v>46008</v>
      </c>
      <c r="E7" s="8">
        <v>9</v>
      </c>
      <c r="F7" s="84" t="s">
        <v>764</v>
      </c>
      <c r="G7" s="84"/>
      <c r="H7" s="9"/>
    </row>
    <row r="8" spans="1:8" s="5" customFormat="1" ht="12" x14ac:dyDescent="0.35">
      <c r="A8" s="6"/>
      <c r="B8" s="84" t="s">
        <v>786</v>
      </c>
      <c r="C8" s="7" t="s">
        <v>24</v>
      </c>
      <c r="D8" s="65"/>
      <c r="E8" s="8"/>
      <c r="F8" s="84" t="s">
        <v>785</v>
      </c>
      <c r="G8" s="84"/>
      <c r="H8" s="9"/>
    </row>
    <row r="9" spans="1:8" s="5" customFormat="1" ht="12" x14ac:dyDescent="0.35">
      <c r="A9" s="6"/>
      <c r="B9" s="7" t="s">
        <v>787</v>
      </c>
      <c r="C9" s="7"/>
      <c r="D9" s="65"/>
      <c r="E9" s="8"/>
      <c r="F9" s="84"/>
      <c r="G9" s="84"/>
      <c r="H9" s="9"/>
    </row>
    <row r="10" spans="1:8" s="5" customFormat="1" ht="12" x14ac:dyDescent="0.35">
      <c r="A10" s="6"/>
      <c r="B10" s="7"/>
      <c r="C10" s="7"/>
      <c r="D10" s="65"/>
      <c r="E10" s="8"/>
      <c r="F10" s="84"/>
      <c r="G10" s="84"/>
      <c r="H10" s="9"/>
    </row>
  </sheetData>
  <autoFilter ref="A1:I10" xr:uid="{CD714BF3-FEFE-466A-B133-5A6DA2D21FC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32685-BF85-42C1-9B5D-16C2122EB57C}">
  <dimension ref="A1:H12"/>
  <sheetViews>
    <sheetView showGridLines="0" topLeftCell="A10" workbookViewId="0">
      <selection activeCell="E10" sqref="E10"/>
    </sheetView>
  </sheetViews>
  <sheetFormatPr defaultColWidth="8.7265625" defaultRowHeight="14.5" x14ac:dyDescent="0.35"/>
  <cols>
    <col min="1" max="1" width="10.7265625" style="39" customWidth="1"/>
    <col min="2" max="2" width="41.54296875" style="39" bestFit="1" customWidth="1"/>
    <col min="3" max="3" width="11.54296875" style="39" bestFit="1" customWidth="1"/>
    <col min="4" max="4" width="8.1796875" style="1" bestFit="1" customWidth="1"/>
    <col min="5" max="5" width="22.1796875" style="1" bestFit="1" customWidth="1"/>
    <col min="6" max="6" width="32.81640625" style="39" bestFit="1" customWidth="1"/>
    <col min="7" max="7" width="19.453125" style="39" bestFit="1" customWidth="1"/>
    <col min="8" max="8" width="23.1796875" style="39" customWidth="1"/>
    <col min="9" max="16384" width="8.7265625" style="39"/>
  </cols>
  <sheetData>
    <row r="1" spans="1:8" s="1" customFormat="1" ht="15" thickBot="1" x14ac:dyDescent="0.4">
      <c r="A1" s="2" t="s">
        <v>0</v>
      </c>
      <c r="B1" s="3" t="s">
        <v>1</v>
      </c>
      <c r="C1" s="3" t="s">
        <v>2</v>
      </c>
      <c r="D1" s="3" t="s">
        <v>3</v>
      </c>
      <c r="E1" s="3" t="s">
        <v>6</v>
      </c>
      <c r="F1" s="3" t="s">
        <v>7</v>
      </c>
      <c r="G1" s="3" t="s">
        <v>45</v>
      </c>
      <c r="H1" s="4" t="s">
        <v>46</v>
      </c>
    </row>
    <row r="2" spans="1:8" s="5" customFormat="1" ht="84" x14ac:dyDescent="0.35">
      <c r="A2" s="91" t="s">
        <v>412</v>
      </c>
      <c r="B2" s="7" t="s">
        <v>484</v>
      </c>
      <c r="C2" s="179" t="s">
        <v>211</v>
      </c>
      <c r="D2" s="65"/>
      <c r="E2" s="8"/>
      <c r="F2" s="84" t="s">
        <v>610</v>
      </c>
      <c r="G2" s="84"/>
      <c r="H2" s="84"/>
    </row>
    <row r="3" spans="1:8" s="5" customFormat="1" ht="120" x14ac:dyDescent="0.35">
      <c r="A3" s="6" t="s">
        <v>412</v>
      </c>
      <c r="B3" s="7" t="s">
        <v>611</v>
      </c>
      <c r="C3" s="179" t="s">
        <v>211</v>
      </c>
      <c r="D3" s="65">
        <v>45870</v>
      </c>
      <c r="E3" s="8"/>
      <c r="F3" s="84" t="s">
        <v>715</v>
      </c>
      <c r="G3" s="84"/>
      <c r="H3" s="9"/>
    </row>
    <row r="4" spans="1:8" s="5" customFormat="1" ht="228" x14ac:dyDescent="0.35">
      <c r="A4" s="6" t="s">
        <v>412</v>
      </c>
      <c r="B4" s="7" t="s">
        <v>599</v>
      </c>
      <c r="C4" s="179" t="s">
        <v>211</v>
      </c>
      <c r="D4" s="65"/>
      <c r="E4" s="8"/>
      <c r="F4" s="84" t="s">
        <v>747</v>
      </c>
      <c r="G4" s="84"/>
      <c r="H4" s="9"/>
    </row>
    <row r="5" spans="1:8" s="5" customFormat="1" ht="168" x14ac:dyDescent="0.35">
      <c r="A5" s="6" t="s">
        <v>485</v>
      </c>
      <c r="B5" s="7" t="s">
        <v>414</v>
      </c>
      <c r="C5" s="179" t="s">
        <v>211</v>
      </c>
      <c r="D5" s="65"/>
      <c r="E5" s="8"/>
      <c r="F5" s="84" t="s">
        <v>659</v>
      </c>
      <c r="G5" s="84" t="s">
        <v>627</v>
      </c>
      <c r="H5" s="9"/>
    </row>
    <row r="6" spans="1:8" s="5" customFormat="1" ht="180" x14ac:dyDescent="0.35">
      <c r="A6" s="6" t="s">
        <v>412</v>
      </c>
      <c r="B6" s="7" t="s">
        <v>413</v>
      </c>
      <c r="C6" s="179" t="s">
        <v>211</v>
      </c>
      <c r="D6" s="65"/>
      <c r="E6" s="8"/>
      <c r="F6" s="84" t="s">
        <v>759</v>
      </c>
      <c r="G6" s="178"/>
      <c r="H6" s="152"/>
    </row>
    <row r="7" spans="1:8" s="5" customFormat="1" ht="192" x14ac:dyDescent="0.35">
      <c r="A7" s="6" t="s">
        <v>486</v>
      </c>
      <c r="B7" s="7" t="s">
        <v>622</v>
      </c>
      <c r="C7" s="179" t="s">
        <v>211</v>
      </c>
      <c r="D7" s="65"/>
      <c r="E7" s="8"/>
      <c r="F7" s="84" t="s">
        <v>749</v>
      </c>
      <c r="G7" s="84"/>
      <c r="H7" s="152"/>
    </row>
    <row r="8" spans="1:8" s="5" customFormat="1" ht="72" x14ac:dyDescent="0.35">
      <c r="A8" s="6" t="s">
        <v>486</v>
      </c>
      <c r="B8" s="7" t="s">
        <v>631</v>
      </c>
      <c r="C8" s="7" t="s">
        <v>21</v>
      </c>
      <c r="D8" s="65">
        <v>46006</v>
      </c>
      <c r="E8" s="8"/>
      <c r="F8" s="84" t="s">
        <v>774</v>
      </c>
      <c r="G8" s="84"/>
      <c r="H8" s="9"/>
    </row>
    <row r="9" spans="1:8" s="5" customFormat="1" ht="156" x14ac:dyDescent="0.35">
      <c r="A9" s="6" t="s">
        <v>486</v>
      </c>
      <c r="B9" s="7" t="s">
        <v>598</v>
      </c>
      <c r="C9" s="179" t="s">
        <v>211</v>
      </c>
      <c r="D9" s="65">
        <v>45973</v>
      </c>
      <c r="E9" s="8"/>
      <c r="F9" s="84" t="s">
        <v>750</v>
      </c>
      <c r="G9" s="84"/>
      <c r="H9" s="84"/>
    </row>
    <row r="10" spans="1:8" s="5" customFormat="1" ht="156" x14ac:dyDescent="0.35">
      <c r="A10" s="6" t="s">
        <v>412</v>
      </c>
      <c r="B10" s="7" t="s">
        <v>612</v>
      </c>
      <c r="C10" s="7" t="s">
        <v>21</v>
      </c>
      <c r="D10" s="65">
        <v>46003</v>
      </c>
      <c r="E10" s="8">
        <v>232</v>
      </c>
      <c r="F10" s="84" t="s">
        <v>775</v>
      </c>
      <c r="G10" s="84" t="s">
        <v>760</v>
      </c>
      <c r="H10" s="9"/>
    </row>
    <row r="11" spans="1:8" s="5" customFormat="1" ht="144" x14ac:dyDescent="0.35">
      <c r="A11" s="10" t="s">
        <v>486</v>
      </c>
      <c r="B11" s="11" t="s">
        <v>632</v>
      </c>
      <c r="C11" s="11" t="s">
        <v>21</v>
      </c>
      <c r="D11" s="64"/>
      <c r="E11" s="12">
        <v>216</v>
      </c>
      <c r="F11" s="92" t="s">
        <v>776</v>
      </c>
      <c r="G11" s="92"/>
      <c r="H11" s="93"/>
    </row>
    <row r="12" spans="1:8" ht="108" x14ac:dyDescent="0.35">
      <c r="A12" s="10" t="s">
        <v>660</v>
      </c>
      <c r="B12" s="11" t="s">
        <v>778</v>
      </c>
      <c r="C12" s="11" t="s">
        <v>292</v>
      </c>
      <c r="D12" s="64">
        <v>45989</v>
      </c>
      <c r="E12" s="12"/>
      <c r="F12" s="92" t="s">
        <v>777</v>
      </c>
      <c r="G12" s="92"/>
      <c r="H12" s="93"/>
    </row>
  </sheetData>
  <autoFilter ref="A1:J12" xr:uid="{CD714BF3-FEFE-466A-B133-5A6DA2D21FC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E66E-8B74-4FAB-A92C-18762B3B66A0}">
  <dimension ref="A1:J88"/>
  <sheetViews>
    <sheetView showGridLines="0" topLeftCell="A65" workbookViewId="0">
      <selection activeCell="B1" sqref="B1"/>
    </sheetView>
  </sheetViews>
  <sheetFormatPr defaultColWidth="8.7265625" defaultRowHeight="13" x14ac:dyDescent="0.35"/>
  <cols>
    <col min="1" max="1" width="19" style="23" bestFit="1" customWidth="1"/>
    <col min="2" max="2" width="42.453125" style="23" bestFit="1" customWidth="1"/>
    <col min="3" max="3" width="14.6328125" style="23" bestFit="1" customWidth="1"/>
    <col min="4" max="4" width="15.54296875" style="23" customWidth="1"/>
    <col min="5" max="5" width="14.26953125" style="23" bestFit="1" customWidth="1"/>
    <col min="6" max="6" width="8.1796875" style="16" bestFit="1" customWidth="1"/>
    <col min="7" max="7" width="16.453125" style="16" bestFit="1" customWidth="1"/>
    <col min="8" max="8" width="32.81640625" style="23" bestFit="1" customWidth="1"/>
    <col min="9" max="9" width="50.81640625" style="23" bestFit="1" customWidth="1"/>
    <col min="10" max="10" width="29.81640625" style="23" customWidth="1"/>
    <col min="11" max="16384" width="8.7265625" style="23"/>
  </cols>
  <sheetData>
    <row r="1" spans="1:10" s="16" customFormat="1" ht="13.5" thickBot="1" x14ac:dyDescent="0.4">
      <c r="A1" s="55" t="s">
        <v>0</v>
      </c>
      <c r="B1" s="56" t="s">
        <v>1</v>
      </c>
      <c r="C1" s="56" t="s">
        <v>296</v>
      </c>
      <c r="D1" s="56" t="s">
        <v>4</v>
      </c>
      <c r="E1" s="56" t="s">
        <v>2</v>
      </c>
      <c r="F1" s="56" t="s">
        <v>3</v>
      </c>
      <c r="G1" s="56" t="s">
        <v>164</v>
      </c>
      <c r="H1" s="56" t="s">
        <v>7</v>
      </c>
      <c r="I1" s="56" t="s">
        <v>45</v>
      </c>
      <c r="J1" s="57" t="s">
        <v>87</v>
      </c>
    </row>
    <row r="2" spans="1:10" ht="14.5" x14ac:dyDescent="0.35">
      <c r="A2" s="71" t="s">
        <v>157</v>
      </c>
      <c r="B2" s="95" t="s">
        <v>310</v>
      </c>
      <c r="C2" s="101" t="s">
        <v>297</v>
      </c>
      <c r="D2" s="58" t="s">
        <v>239</v>
      </c>
      <c r="E2" s="96" t="s">
        <v>113</v>
      </c>
      <c r="F2" s="67"/>
      <c r="G2" s="60">
        <v>90</v>
      </c>
      <c r="H2" s="28" t="s">
        <v>418</v>
      </c>
      <c r="I2" s="28"/>
      <c r="J2" s="29"/>
    </row>
    <row r="3" spans="1:10" ht="14.5" x14ac:dyDescent="0.35">
      <c r="A3" s="17"/>
      <c r="B3" s="95" t="s">
        <v>168</v>
      </c>
      <c r="C3" s="101" t="s">
        <v>298</v>
      </c>
      <c r="D3" s="25"/>
      <c r="E3" s="96" t="s">
        <v>211</v>
      </c>
      <c r="F3" s="67"/>
      <c r="G3" s="20"/>
      <c r="H3" s="28"/>
      <c r="I3" s="28"/>
      <c r="J3" s="29"/>
    </row>
    <row r="4" spans="1:10" ht="14.5" x14ac:dyDescent="0.35">
      <c r="A4" s="24"/>
      <c r="B4" s="95" t="s">
        <v>165</v>
      </c>
      <c r="C4" s="101" t="s">
        <v>298</v>
      </c>
      <c r="D4" s="25"/>
      <c r="E4" s="96" t="s">
        <v>211</v>
      </c>
      <c r="F4" s="67"/>
      <c r="H4" s="28"/>
      <c r="I4" s="28"/>
      <c r="J4" s="29"/>
    </row>
    <row r="5" spans="1:10" ht="14.5" x14ac:dyDescent="0.35">
      <c r="A5" s="24"/>
      <c r="B5" s="95" t="s">
        <v>166</v>
      </c>
      <c r="C5" s="101" t="s">
        <v>298</v>
      </c>
      <c r="D5" s="25"/>
      <c r="E5" s="96" t="s">
        <v>211</v>
      </c>
      <c r="F5" s="67"/>
      <c r="G5" s="27"/>
      <c r="H5" s="28"/>
      <c r="I5" s="28"/>
      <c r="J5" s="29"/>
    </row>
    <row r="6" spans="1:10" ht="14.5" x14ac:dyDescent="0.35">
      <c r="A6" s="24"/>
      <c r="B6" s="95" t="s">
        <v>167</v>
      </c>
      <c r="C6" s="101" t="s">
        <v>298</v>
      </c>
      <c r="D6" s="25"/>
      <c r="E6" s="96" t="s">
        <v>211</v>
      </c>
      <c r="F6" s="67"/>
      <c r="G6" s="27"/>
      <c r="H6" s="28"/>
      <c r="I6" s="30"/>
      <c r="J6" s="29"/>
    </row>
    <row r="7" spans="1:10" ht="14.5" x14ac:dyDescent="0.35">
      <c r="A7" s="24"/>
      <c r="B7" s="95" t="s">
        <v>169</v>
      </c>
      <c r="C7" s="101" t="s">
        <v>298</v>
      </c>
      <c r="D7" s="25"/>
      <c r="E7" s="96" t="s">
        <v>211</v>
      </c>
      <c r="F7" s="67"/>
      <c r="G7" s="27"/>
      <c r="H7" s="28"/>
      <c r="I7" s="28"/>
      <c r="J7" s="29"/>
    </row>
    <row r="8" spans="1:10" ht="14.5" x14ac:dyDescent="0.35">
      <c r="A8" s="24"/>
      <c r="B8" s="95" t="s">
        <v>170</v>
      </c>
      <c r="C8" s="101" t="s">
        <v>298</v>
      </c>
      <c r="D8" s="25"/>
      <c r="E8" s="96" t="s">
        <v>211</v>
      </c>
      <c r="F8" s="67"/>
      <c r="G8" s="27"/>
      <c r="H8" s="28"/>
      <c r="I8" s="28"/>
      <c r="J8" s="29"/>
    </row>
    <row r="9" spans="1:10" ht="14.5" x14ac:dyDescent="0.35">
      <c r="A9" s="24"/>
      <c r="B9" s="95" t="s">
        <v>171</v>
      </c>
      <c r="C9" s="101" t="s">
        <v>298</v>
      </c>
      <c r="D9" s="25"/>
      <c r="E9" s="96" t="s">
        <v>211</v>
      </c>
      <c r="F9" s="67"/>
      <c r="G9" s="27"/>
      <c r="H9" s="28"/>
      <c r="I9" s="28"/>
      <c r="J9" s="29"/>
    </row>
    <row r="10" spans="1:10" ht="14.5" x14ac:dyDescent="0.35">
      <c r="A10" s="24"/>
      <c r="B10" s="95" t="s">
        <v>172</v>
      </c>
      <c r="C10" s="101" t="s">
        <v>298</v>
      </c>
      <c r="D10" s="25"/>
      <c r="E10" s="96" t="s">
        <v>211</v>
      </c>
      <c r="F10" s="68"/>
      <c r="G10" s="27"/>
      <c r="H10" s="28"/>
      <c r="I10" s="33"/>
      <c r="J10" s="29"/>
    </row>
    <row r="11" spans="1:10" ht="14.5" x14ac:dyDescent="0.35">
      <c r="A11" s="24"/>
      <c r="B11" s="95" t="s">
        <v>173</v>
      </c>
      <c r="C11" s="101" t="s">
        <v>298</v>
      </c>
      <c r="D11" s="25"/>
      <c r="E11" s="96" t="s">
        <v>211</v>
      </c>
      <c r="F11" s="68"/>
      <c r="G11" s="27"/>
      <c r="H11" s="28"/>
      <c r="I11" s="33"/>
      <c r="J11" s="29"/>
    </row>
    <row r="12" spans="1:10" ht="14.5" x14ac:dyDescent="0.35">
      <c r="A12" s="24"/>
      <c r="B12" s="95" t="s">
        <v>174</v>
      </c>
      <c r="C12" s="101" t="s">
        <v>298</v>
      </c>
      <c r="D12" s="25"/>
      <c r="E12" s="96" t="s">
        <v>211</v>
      </c>
      <c r="F12" s="67"/>
      <c r="G12" s="27"/>
      <c r="H12" s="28"/>
      <c r="I12" s="30"/>
      <c r="J12" s="29"/>
    </row>
    <row r="13" spans="1:10" ht="14.5" x14ac:dyDescent="0.35">
      <c r="A13" s="24"/>
      <c r="B13" s="95" t="s">
        <v>175</v>
      </c>
      <c r="C13" s="101" t="s">
        <v>298</v>
      </c>
      <c r="D13" s="25"/>
      <c r="E13" s="96" t="s">
        <v>211</v>
      </c>
      <c r="F13" s="67"/>
      <c r="G13" s="27"/>
      <c r="H13" s="28"/>
      <c r="I13" s="28"/>
      <c r="J13" s="29"/>
    </row>
    <row r="14" spans="1:10" ht="14.5" x14ac:dyDescent="0.35">
      <c r="A14" s="24"/>
      <c r="B14" s="95" t="s">
        <v>176</v>
      </c>
      <c r="C14" s="101" t="s">
        <v>298</v>
      </c>
      <c r="D14" s="25"/>
      <c r="E14" s="96" t="s">
        <v>211</v>
      </c>
      <c r="F14" s="67"/>
      <c r="G14" s="27"/>
      <c r="H14" s="28"/>
      <c r="I14" s="35"/>
      <c r="J14" s="29"/>
    </row>
    <row r="15" spans="1:10" ht="14.5" x14ac:dyDescent="0.35">
      <c r="A15" s="24"/>
      <c r="B15" s="95" t="s">
        <v>177</v>
      </c>
      <c r="C15" s="101" t="s">
        <v>298</v>
      </c>
      <c r="D15" s="25"/>
      <c r="E15" s="96" t="s">
        <v>211</v>
      </c>
      <c r="F15" s="67"/>
      <c r="G15" s="27"/>
      <c r="H15" s="28"/>
      <c r="I15" s="34"/>
      <c r="J15" s="29"/>
    </row>
    <row r="16" spans="1:10" ht="14.5" x14ac:dyDescent="0.35">
      <c r="A16" s="24"/>
      <c r="B16" s="95" t="s">
        <v>178</v>
      </c>
      <c r="C16" s="101" t="s">
        <v>298</v>
      </c>
      <c r="D16" s="25"/>
      <c r="E16" s="96" t="s">
        <v>211</v>
      </c>
      <c r="F16" s="67"/>
      <c r="G16" s="27"/>
      <c r="H16" s="28"/>
      <c r="I16" s="34"/>
      <c r="J16" s="29"/>
    </row>
    <row r="17" spans="1:10" ht="14.5" x14ac:dyDescent="0.35">
      <c r="A17" s="24"/>
      <c r="B17" s="95" t="s">
        <v>179</v>
      </c>
      <c r="C17" s="101" t="s">
        <v>298</v>
      </c>
      <c r="D17" s="25"/>
      <c r="E17" s="96" t="s">
        <v>211</v>
      </c>
      <c r="F17" s="67"/>
      <c r="G17" s="27"/>
      <c r="H17" s="28"/>
      <c r="I17" s="28"/>
      <c r="J17" s="29"/>
    </row>
    <row r="18" spans="1:10" ht="15.65" customHeight="1" x14ac:dyDescent="0.35">
      <c r="A18" s="24"/>
      <c r="B18" s="95" t="s">
        <v>180</v>
      </c>
      <c r="C18" s="101" t="s">
        <v>298</v>
      </c>
      <c r="D18" s="25"/>
      <c r="E18" s="96" t="s">
        <v>211</v>
      </c>
      <c r="F18" s="27"/>
      <c r="G18" s="27"/>
      <c r="H18" s="25"/>
      <c r="I18" s="25"/>
      <c r="J18" s="29"/>
    </row>
    <row r="19" spans="1:10" ht="14.5" x14ac:dyDescent="0.35">
      <c r="A19" s="24"/>
      <c r="B19" s="95" t="s">
        <v>181</v>
      </c>
      <c r="C19" s="101" t="s">
        <v>298</v>
      </c>
      <c r="D19" s="25"/>
      <c r="E19" s="96" t="s">
        <v>211</v>
      </c>
      <c r="F19" s="27"/>
      <c r="G19" s="27"/>
      <c r="H19" s="25"/>
      <c r="I19" s="25"/>
      <c r="J19" s="29"/>
    </row>
    <row r="20" spans="1:10" ht="14.5" x14ac:dyDescent="0.35">
      <c r="A20" s="24"/>
      <c r="B20" s="95" t="s">
        <v>182</v>
      </c>
      <c r="C20" s="101" t="s">
        <v>298</v>
      </c>
      <c r="D20" s="25"/>
      <c r="E20" s="96" t="s">
        <v>211</v>
      </c>
      <c r="F20" s="27"/>
      <c r="G20" s="27"/>
      <c r="H20" s="25"/>
      <c r="I20" s="25"/>
      <c r="J20" s="29"/>
    </row>
    <row r="21" spans="1:10" ht="14.5" x14ac:dyDescent="0.35">
      <c r="A21" s="24"/>
      <c r="B21" s="95" t="s">
        <v>183</v>
      </c>
      <c r="C21" s="101" t="s">
        <v>298</v>
      </c>
      <c r="D21" s="25"/>
      <c r="E21" s="96" t="s">
        <v>211</v>
      </c>
      <c r="F21" s="27"/>
      <c r="G21" s="27"/>
      <c r="H21" s="25"/>
      <c r="I21" s="25"/>
      <c r="J21" s="29"/>
    </row>
    <row r="22" spans="1:10" ht="14.5" x14ac:dyDescent="0.35">
      <c r="A22" s="24"/>
      <c r="B22" s="95" t="s">
        <v>184</v>
      </c>
      <c r="C22" s="95" t="s">
        <v>297</v>
      </c>
      <c r="D22" s="25"/>
      <c r="E22" s="96" t="s">
        <v>211</v>
      </c>
      <c r="F22" s="27"/>
      <c r="G22" s="27"/>
      <c r="H22" s="25"/>
      <c r="I22" s="25"/>
      <c r="J22" s="29"/>
    </row>
    <row r="23" spans="1:10" ht="14.5" x14ac:dyDescent="0.35">
      <c r="A23" s="24"/>
      <c r="B23" s="95" t="s">
        <v>185</v>
      </c>
      <c r="C23" s="101" t="s">
        <v>298</v>
      </c>
      <c r="D23" s="25"/>
      <c r="E23" s="96" t="s">
        <v>211</v>
      </c>
      <c r="F23" s="27"/>
      <c r="G23" s="27"/>
      <c r="H23" s="25"/>
      <c r="I23" s="25"/>
      <c r="J23" s="29"/>
    </row>
    <row r="24" spans="1:10" ht="14.5" x14ac:dyDescent="0.35">
      <c r="A24" s="24"/>
      <c r="B24" s="95" t="s">
        <v>186</v>
      </c>
      <c r="C24" s="101" t="s">
        <v>298</v>
      </c>
      <c r="D24" s="25"/>
      <c r="E24" s="96" t="s">
        <v>211</v>
      </c>
      <c r="F24" s="27"/>
      <c r="G24" s="27"/>
      <c r="H24" s="25"/>
      <c r="I24" s="25"/>
      <c r="J24" s="29"/>
    </row>
    <row r="25" spans="1:10" ht="14.5" x14ac:dyDescent="0.35">
      <c r="A25" s="24"/>
      <c r="B25" s="95" t="s">
        <v>187</v>
      </c>
      <c r="C25" s="101" t="s">
        <v>298</v>
      </c>
      <c r="D25" s="25"/>
      <c r="E25" s="96" t="s">
        <v>211</v>
      </c>
      <c r="F25" s="27"/>
      <c r="G25" s="27"/>
      <c r="H25" s="25"/>
      <c r="I25" s="25"/>
      <c r="J25" s="29"/>
    </row>
    <row r="26" spans="1:10" ht="14.5" x14ac:dyDescent="0.35">
      <c r="A26" s="24"/>
      <c r="B26" s="95" t="s">
        <v>188</v>
      </c>
      <c r="C26" s="101" t="s">
        <v>298</v>
      </c>
      <c r="D26" s="25"/>
      <c r="E26" s="96" t="s">
        <v>211</v>
      </c>
      <c r="F26" s="27"/>
      <c r="G26" s="27"/>
      <c r="H26" s="25"/>
      <c r="I26" s="25"/>
      <c r="J26" s="29"/>
    </row>
    <row r="27" spans="1:10" ht="14.5" x14ac:dyDescent="0.35">
      <c r="A27" s="24"/>
      <c r="B27" s="95" t="s">
        <v>189</v>
      </c>
      <c r="C27" s="101" t="s">
        <v>298</v>
      </c>
      <c r="D27" s="25"/>
      <c r="E27" s="96" t="s">
        <v>211</v>
      </c>
      <c r="F27" s="27"/>
      <c r="G27" s="27"/>
      <c r="H27" s="25"/>
      <c r="I27" s="25"/>
      <c r="J27" s="29"/>
    </row>
    <row r="28" spans="1:10" ht="14.5" x14ac:dyDescent="0.35">
      <c r="A28" s="24"/>
      <c r="B28" s="95" t="s">
        <v>190</v>
      </c>
      <c r="C28" s="101" t="s">
        <v>298</v>
      </c>
      <c r="D28" s="25"/>
      <c r="E28" s="96" t="s">
        <v>211</v>
      </c>
      <c r="F28" s="27"/>
      <c r="G28" s="27"/>
      <c r="H28" s="25"/>
      <c r="I28" s="25"/>
      <c r="J28" s="29"/>
    </row>
    <row r="29" spans="1:10" ht="14.5" x14ac:dyDescent="0.35">
      <c r="A29" s="24"/>
      <c r="B29" s="95" t="s">
        <v>191</v>
      </c>
      <c r="C29" s="101" t="s">
        <v>298</v>
      </c>
      <c r="D29" s="25"/>
      <c r="E29" s="96" t="s">
        <v>211</v>
      </c>
      <c r="F29" s="27"/>
      <c r="G29" s="27"/>
      <c r="H29" s="25"/>
      <c r="I29" s="25"/>
      <c r="J29" s="29"/>
    </row>
    <row r="30" spans="1:10" ht="14.5" x14ac:dyDescent="0.35">
      <c r="A30" s="24"/>
      <c r="B30" s="95" t="s">
        <v>192</v>
      </c>
      <c r="C30" s="101" t="s">
        <v>298</v>
      </c>
      <c r="D30" s="25"/>
      <c r="E30" s="96" t="s">
        <v>211</v>
      </c>
      <c r="F30" s="27"/>
      <c r="G30" s="27"/>
      <c r="H30" s="25"/>
      <c r="I30" s="25"/>
      <c r="J30" s="29"/>
    </row>
    <row r="31" spans="1:10" ht="14.5" x14ac:dyDescent="0.35">
      <c r="A31" s="24"/>
      <c r="B31" s="95" t="s">
        <v>193</v>
      </c>
      <c r="C31" s="101" t="s">
        <v>298</v>
      </c>
      <c r="D31" s="25"/>
      <c r="E31" s="96" t="s">
        <v>211</v>
      </c>
      <c r="F31" s="27"/>
      <c r="G31" s="27"/>
      <c r="H31" s="25"/>
      <c r="I31" s="25"/>
      <c r="J31" s="29"/>
    </row>
    <row r="32" spans="1:10" ht="14.5" x14ac:dyDescent="0.35">
      <c r="A32" s="24"/>
      <c r="B32" s="95" t="s">
        <v>194</v>
      </c>
      <c r="C32" s="101" t="s">
        <v>298</v>
      </c>
      <c r="D32" s="25"/>
      <c r="E32" s="96" t="s">
        <v>211</v>
      </c>
      <c r="F32" s="27"/>
      <c r="G32" s="27"/>
      <c r="H32" s="25"/>
      <c r="I32" s="25"/>
      <c r="J32" s="29"/>
    </row>
    <row r="33" spans="1:10" ht="14.5" x14ac:dyDescent="0.35">
      <c r="A33" s="24"/>
      <c r="B33" s="95" t="s">
        <v>195</v>
      </c>
      <c r="C33" s="101" t="s">
        <v>298</v>
      </c>
      <c r="D33" s="25"/>
      <c r="E33" s="96" t="s">
        <v>211</v>
      </c>
      <c r="F33" s="27"/>
      <c r="G33" s="27"/>
      <c r="H33" s="25"/>
      <c r="I33" s="25"/>
      <c r="J33" s="29"/>
    </row>
    <row r="34" spans="1:10" ht="14.5" x14ac:dyDescent="0.35">
      <c r="A34" s="24"/>
      <c r="B34" s="95" t="s">
        <v>196</v>
      </c>
      <c r="C34" s="101" t="s">
        <v>298</v>
      </c>
      <c r="D34" s="25"/>
      <c r="E34" s="96" t="s">
        <v>211</v>
      </c>
      <c r="F34" s="27"/>
      <c r="G34" s="27"/>
      <c r="H34" s="25"/>
      <c r="I34" s="25"/>
      <c r="J34" s="29"/>
    </row>
    <row r="35" spans="1:10" ht="14.5" x14ac:dyDescent="0.35">
      <c r="A35" s="24"/>
      <c r="B35" s="95" t="s">
        <v>197</v>
      </c>
      <c r="C35" s="101" t="s">
        <v>298</v>
      </c>
      <c r="D35" s="25"/>
      <c r="E35" s="96" t="s">
        <v>211</v>
      </c>
      <c r="F35" s="27"/>
      <c r="G35" s="27"/>
      <c r="H35" s="25"/>
      <c r="I35" s="25"/>
      <c r="J35" s="29"/>
    </row>
    <row r="36" spans="1:10" ht="14.5" x14ac:dyDescent="0.35">
      <c r="A36" s="24"/>
      <c r="B36" s="95" t="s">
        <v>198</v>
      </c>
      <c r="C36" s="101" t="s">
        <v>298</v>
      </c>
      <c r="D36" s="25"/>
      <c r="E36" s="96" t="s">
        <v>211</v>
      </c>
      <c r="F36" s="27"/>
      <c r="G36" s="27"/>
      <c r="H36" s="25"/>
      <c r="I36" s="25"/>
      <c r="J36" s="29"/>
    </row>
    <row r="37" spans="1:10" ht="14.5" x14ac:dyDescent="0.35">
      <c r="A37" s="24"/>
      <c r="B37" s="95" t="s">
        <v>199</v>
      </c>
      <c r="C37" s="101" t="s">
        <v>298</v>
      </c>
      <c r="D37" s="25"/>
      <c r="E37" s="96" t="s">
        <v>211</v>
      </c>
      <c r="F37" s="27"/>
      <c r="G37" s="27"/>
      <c r="H37" s="25"/>
      <c r="I37" s="25"/>
      <c r="J37" s="29"/>
    </row>
    <row r="38" spans="1:10" ht="14.5" x14ac:dyDescent="0.35">
      <c r="A38" s="24"/>
      <c r="B38" s="95" t="s">
        <v>200</v>
      </c>
      <c r="C38" s="101" t="s">
        <v>298</v>
      </c>
      <c r="D38" s="25"/>
      <c r="E38" s="96" t="s">
        <v>211</v>
      </c>
      <c r="F38" s="27"/>
      <c r="G38" s="27"/>
      <c r="H38" s="25"/>
      <c r="I38" s="25"/>
      <c r="J38" s="29"/>
    </row>
    <row r="39" spans="1:10" ht="14.5" x14ac:dyDescent="0.35">
      <c r="A39" s="24"/>
      <c r="B39" s="95" t="s">
        <v>201</v>
      </c>
      <c r="C39" s="101" t="s">
        <v>298</v>
      </c>
      <c r="D39" s="25"/>
      <c r="E39" s="96" t="s">
        <v>211</v>
      </c>
      <c r="F39" s="27"/>
      <c r="G39" s="27"/>
      <c r="H39" s="25"/>
      <c r="I39" s="25"/>
      <c r="J39" s="29"/>
    </row>
    <row r="40" spans="1:10" ht="14.5" x14ac:dyDescent="0.35">
      <c r="A40" s="24"/>
      <c r="B40" s="95" t="s">
        <v>202</v>
      </c>
      <c r="C40" s="101" t="s">
        <v>298</v>
      </c>
      <c r="D40" s="25"/>
      <c r="E40" s="96" t="s">
        <v>211</v>
      </c>
      <c r="F40" s="27"/>
      <c r="G40" s="27"/>
      <c r="H40" s="25"/>
      <c r="I40" s="25"/>
      <c r="J40" s="29"/>
    </row>
    <row r="41" spans="1:10" ht="14.5" x14ac:dyDescent="0.35">
      <c r="A41" s="24"/>
      <c r="B41" s="95" t="s">
        <v>203</v>
      </c>
      <c r="C41" s="101" t="s">
        <v>298</v>
      </c>
      <c r="D41" s="25"/>
      <c r="E41" s="96" t="s">
        <v>211</v>
      </c>
      <c r="F41" s="27"/>
      <c r="G41" s="27"/>
      <c r="H41" s="25"/>
      <c r="I41" s="25"/>
      <c r="J41" s="29"/>
    </row>
    <row r="42" spans="1:10" ht="14.5" x14ac:dyDescent="0.35">
      <c r="A42" s="24"/>
      <c r="B42" s="95" t="s">
        <v>204</v>
      </c>
      <c r="C42" s="101" t="s">
        <v>298</v>
      </c>
      <c r="D42" s="25"/>
      <c r="E42" s="96" t="s">
        <v>211</v>
      </c>
      <c r="F42" s="27"/>
      <c r="G42" s="27"/>
      <c r="H42" s="25"/>
      <c r="I42" s="25"/>
      <c r="J42" s="29"/>
    </row>
    <row r="43" spans="1:10" ht="14.5" x14ac:dyDescent="0.35">
      <c r="A43" s="24"/>
      <c r="B43" s="95" t="s">
        <v>205</v>
      </c>
      <c r="C43" s="101" t="s">
        <v>298</v>
      </c>
      <c r="D43" s="25"/>
      <c r="E43" s="96" t="s">
        <v>211</v>
      </c>
      <c r="F43" s="27"/>
      <c r="G43" s="27"/>
      <c r="H43" s="25"/>
      <c r="I43" s="25"/>
      <c r="J43" s="29"/>
    </row>
    <row r="44" spans="1:10" ht="14.5" x14ac:dyDescent="0.35">
      <c r="A44" s="24"/>
      <c r="B44" s="95" t="s">
        <v>206</v>
      </c>
      <c r="C44" s="101" t="s">
        <v>298</v>
      </c>
      <c r="D44" s="25"/>
      <c r="E44" s="96" t="s">
        <v>211</v>
      </c>
      <c r="F44" s="27"/>
      <c r="G44" s="27"/>
      <c r="H44" s="25"/>
      <c r="I44" s="25"/>
      <c r="J44" s="29"/>
    </row>
    <row r="45" spans="1:10" ht="14.5" x14ac:dyDescent="0.35">
      <c r="A45" s="24"/>
      <c r="B45" s="95" t="s">
        <v>207</v>
      </c>
      <c r="C45" s="101" t="s">
        <v>298</v>
      </c>
      <c r="D45" s="25"/>
      <c r="E45" s="96" t="s">
        <v>211</v>
      </c>
      <c r="F45" s="27"/>
      <c r="G45" s="27"/>
      <c r="H45" s="25"/>
      <c r="I45" s="25"/>
      <c r="J45" s="29"/>
    </row>
    <row r="46" spans="1:10" ht="14.5" x14ac:dyDescent="0.35">
      <c r="A46" s="24"/>
      <c r="B46" s="95" t="s">
        <v>208</v>
      </c>
      <c r="C46" s="101" t="s">
        <v>298</v>
      </c>
      <c r="D46" s="25"/>
      <c r="E46" s="96" t="s">
        <v>211</v>
      </c>
      <c r="F46" s="27"/>
      <c r="G46" s="27"/>
      <c r="H46" s="25"/>
      <c r="I46" s="25"/>
      <c r="J46" s="29"/>
    </row>
    <row r="47" spans="1:10" ht="14.5" x14ac:dyDescent="0.35">
      <c r="A47" s="24"/>
      <c r="B47" s="95" t="s">
        <v>209</v>
      </c>
      <c r="C47" s="101" t="s">
        <v>298</v>
      </c>
      <c r="D47" s="25"/>
      <c r="E47" s="96" t="s">
        <v>211</v>
      </c>
      <c r="F47" s="27"/>
      <c r="G47" s="27"/>
      <c r="H47" s="25"/>
      <c r="I47" s="25"/>
      <c r="J47" s="29"/>
    </row>
    <row r="48" spans="1:10" ht="15" thickBot="1" x14ac:dyDescent="0.4">
      <c r="A48" s="31"/>
      <c r="B48" s="97" t="s">
        <v>210</v>
      </c>
      <c r="C48" s="97" t="s">
        <v>298</v>
      </c>
      <c r="D48" s="36"/>
      <c r="E48" s="98" t="s">
        <v>211</v>
      </c>
      <c r="F48" s="37"/>
      <c r="G48" s="37"/>
      <c r="H48" s="36"/>
      <c r="I48" s="36"/>
      <c r="J48" s="38"/>
    </row>
    <row r="49" spans="1:10" ht="14.5" x14ac:dyDescent="0.35">
      <c r="A49" s="120"/>
      <c r="B49" s="121" t="s">
        <v>344</v>
      </c>
      <c r="C49" s="101" t="s">
        <v>297</v>
      </c>
      <c r="D49" s="122"/>
      <c r="E49" s="123" t="s">
        <v>211</v>
      </c>
      <c r="F49" s="124"/>
      <c r="G49" s="124"/>
      <c r="H49" s="124"/>
      <c r="I49" s="122"/>
      <c r="J49" s="125"/>
    </row>
    <row r="50" spans="1:10" ht="14.5" x14ac:dyDescent="0.35">
      <c r="A50" s="24"/>
      <c r="B50" s="95" t="s">
        <v>381</v>
      </c>
      <c r="C50" s="101" t="s">
        <v>298</v>
      </c>
      <c r="D50" s="96"/>
      <c r="E50" s="96" t="s">
        <v>211</v>
      </c>
      <c r="F50" s="27"/>
      <c r="G50" s="27"/>
      <c r="H50" s="27"/>
      <c r="I50" s="25"/>
      <c r="J50" s="29"/>
    </row>
    <row r="51" spans="1:10" ht="14.5" x14ac:dyDescent="0.35">
      <c r="A51" s="24"/>
      <c r="B51" s="95" t="s">
        <v>351</v>
      </c>
      <c r="C51" s="101" t="s">
        <v>298</v>
      </c>
      <c r="D51" s="96"/>
      <c r="E51" s="96" t="s">
        <v>211</v>
      </c>
      <c r="F51" s="27"/>
      <c r="G51" s="27"/>
      <c r="H51" s="18"/>
      <c r="I51" s="25"/>
      <c r="J51" s="29"/>
    </row>
    <row r="52" spans="1:10" ht="14.5" x14ac:dyDescent="0.35">
      <c r="A52" s="17" t="s">
        <v>158</v>
      </c>
      <c r="B52" s="101" t="s">
        <v>212</v>
      </c>
      <c r="C52" s="101" t="s">
        <v>298</v>
      </c>
      <c r="D52" s="102"/>
      <c r="E52" s="102" t="s">
        <v>211</v>
      </c>
      <c r="F52" s="20"/>
      <c r="G52" s="27"/>
      <c r="H52" s="18"/>
      <c r="I52" s="18"/>
      <c r="J52" s="22"/>
    </row>
    <row r="53" spans="1:10" ht="14.5" x14ac:dyDescent="0.35">
      <c r="A53" s="24"/>
      <c r="B53" s="95" t="s">
        <v>213</v>
      </c>
      <c r="C53" s="101" t="s">
        <v>298</v>
      </c>
      <c r="D53" s="96"/>
      <c r="E53" s="96" t="s">
        <v>211</v>
      </c>
      <c r="F53" s="27"/>
      <c r="G53" s="20">
        <v>98</v>
      </c>
      <c r="H53" s="18"/>
      <c r="I53" s="25"/>
      <c r="J53" s="29"/>
    </row>
    <row r="54" spans="1:10" ht="14.5" x14ac:dyDescent="0.35">
      <c r="A54" s="24"/>
      <c r="B54" s="95" t="s">
        <v>214</v>
      </c>
      <c r="C54" s="101" t="s">
        <v>298</v>
      </c>
      <c r="D54" s="96"/>
      <c r="E54" s="96" t="s">
        <v>211</v>
      </c>
      <c r="F54" s="27"/>
      <c r="G54" s="27"/>
      <c r="H54" s="18"/>
      <c r="I54" s="25"/>
      <c r="J54" s="29"/>
    </row>
    <row r="55" spans="1:10" ht="14.5" x14ac:dyDescent="0.35">
      <c r="A55" s="24"/>
      <c r="B55" s="95" t="s">
        <v>215</v>
      </c>
      <c r="C55" s="101" t="s">
        <v>298</v>
      </c>
      <c r="D55" s="96"/>
      <c r="E55" s="96" t="s">
        <v>211</v>
      </c>
      <c r="F55" s="27"/>
      <c r="G55" s="27"/>
      <c r="H55" s="25"/>
      <c r="I55" s="25"/>
      <c r="J55" s="29"/>
    </row>
    <row r="56" spans="1:10" ht="14.5" x14ac:dyDescent="0.35">
      <c r="A56" s="24"/>
      <c r="B56" s="95" t="s">
        <v>216</v>
      </c>
      <c r="C56" s="101" t="s">
        <v>298</v>
      </c>
      <c r="D56" s="96"/>
      <c r="E56" s="96" t="s">
        <v>211</v>
      </c>
      <c r="F56" s="27"/>
      <c r="G56" s="27"/>
      <c r="H56" s="25"/>
      <c r="I56" s="25"/>
      <c r="J56" s="29"/>
    </row>
    <row r="57" spans="1:10" ht="14.5" x14ac:dyDescent="0.35">
      <c r="A57" s="24"/>
      <c r="B57" s="95" t="s">
        <v>217</v>
      </c>
      <c r="C57" s="101" t="s">
        <v>298</v>
      </c>
      <c r="D57" s="96"/>
      <c r="E57" s="96" t="s">
        <v>211</v>
      </c>
      <c r="F57" s="27"/>
      <c r="G57" s="27"/>
      <c r="H57" s="25"/>
      <c r="I57" s="25"/>
      <c r="J57" s="29"/>
    </row>
    <row r="58" spans="1:10" ht="14.5" x14ac:dyDescent="0.35">
      <c r="A58" s="24"/>
      <c r="B58" s="95" t="s">
        <v>218</v>
      </c>
      <c r="C58" s="95" t="s">
        <v>297</v>
      </c>
      <c r="D58" s="96"/>
      <c r="E58" s="96" t="s">
        <v>211</v>
      </c>
      <c r="F58" s="27"/>
      <c r="G58" s="27"/>
      <c r="H58" s="25"/>
      <c r="I58" s="25"/>
      <c r="J58" s="29"/>
    </row>
    <row r="59" spans="1:10" ht="14.5" x14ac:dyDescent="0.35">
      <c r="A59" s="24"/>
      <c r="B59" s="95" t="s">
        <v>219</v>
      </c>
      <c r="C59" s="101" t="s">
        <v>298</v>
      </c>
      <c r="D59" s="96"/>
      <c r="E59" s="96" t="s">
        <v>211</v>
      </c>
      <c r="F59" s="27"/>
      <c r="G59" s="27"/>
      <c r="H59" s="25"/>
      <c r="I59" s="25"/>
      <c r="J59" s="29"/>
    </row>
    <row r="60" spans="1:10" ht="14.5" x14ac:dyDescent="0.35">
      <c r="A60" s="24"/>
      <c r="B60" s="95" t="s">
        <v>220</v>
      </c>
      <c r="C60" s="101" t="s">
        <v>298</v>
      </c>
      <c r="D60" s="96"/>
      <c r="E60" s="96" t="s">
        <v>211</v>
      </c>
      <c r="F60" s="27"/>
      <c r="G60" s="27"/>
      <c r="H60" s="25"/>
      <c r="I60" s="25"/>
      <c r="J60" s="29"/>
    </row>
    <row r="61" spans="1:10" ht="14.5" x14ac:dyDescent="0.35">
      <c r="A61" s="24"/>
      <c r="B61" s="95" t="s">
        <v>221</v>
      </c>
      <c r="C61" s="101" t="s">
        <v>298</v>
      </c>
      <c r="D61" s="96"/>
      <c r="E61" s="96" t="s">
        <v>211</v>
      </c>
      <c r="F61" s="27"/>
      <c r="G61" s="27"/>
      <c r="H61" s="25"/>
      <c r="I61" s="25"/>
      <c r="J61" s="29"/>
    </row>
    <row r="62" spans="1:10" ht="14.5" x14ac:dyDescent="0.35">
      <c r="A62" s="24"/>
      <c r="B62" s="95" t="s">
        <v>222</v>
      </c>
      <c r="C62" s="101" t="s">
        <v>298</v>
      </c>
      <c r="D62" s="96"/>
      <c r="E62" s="96" t="s">
        <v>211</v>
      </c>
      <c r="F62" s="27"/>
      <c r="G62" s="27"/>
      <c r="H62" s="25"/>
      <c r="I62" s="25"/>
      <c r="J62" s="29"/>
    </row>
    <row r="63" spans="1:10" ht="14.5" x14ac:dyDescent="0.35">
      <c r="A63" s="24"/>
      <c r="B63" s="95" t="s">
        <v>223</v>
      </c>
      <c r="C63" s="101" t="s">
        <v>298</v>
      </c>
      <c r="D63" s="96"/>
      <c r="E63" s="96" t="s">
        <v>211</v>
      </c>
      <c r="F63" s="27"/>
      <c r="G63" s="27"/>
      <c r="H63" s="25"/>
      <c r="I63" s="25"/>
      <c r="J63" s="29"/>
    </row>
    <row r="64" spans="1:10" ht="14.5" x14ac:dyDescent="0.35">
      <c r="A64" s="24"/>
      <c r="B64" s="95" t="s">
        <v>224</v>
      </c>
      <c r="C64" s="101" t="s">
        <v>298</v>
      </c>
      <c r="D64" s="96"/>
      <c r="E64" s="96" t="s">
        <v>211</v>
      </c>
      <c r="F64" s="27"/>
      <c r="G64" s="27"/>
      <c r="H64" s="25"/>
      <c r="I64" s="25"/>
      <c r="J64" s="29"/>
    </row>
    <row r="65" spans="1:10" ht="14.5" x14ac:dyDescent="0.35">
      <c r="A65" s="24"/>
      <c r="B65" s="95" t="s">
        <v>225</v>
      </c>
      <c r="C65" s="101" t="s">
        <v>298</v>
      </c>
      <c r="D65" s="96"/>
      <c r="E65" s="96" t="s">
        <v>211</v>
      </c>
      <c r="F65" s="27"/>
      <c r="G65" s="27"/>
      <c r="H65" s="25"/>
      <c r="I65" s="25"/>
      <c r="J65" s="29"/>
    </row>
    <row r="66" spans="1:10" ht="14.5" x14ac:dyDescent="0.35">
      <c r="A66" s="24"/>
      <c r="B66" s="95" t="s">
        <v>226</v>
      </c>
      <c r="C66" s="101" t="s">
        <v>298</v>
      </c>
      <c r="D66" s="96"/>
      <c r="E66" s="96" t="s">
        <v>211</v>
      </c>
      <c r="F66" s="27"/>
      <c r="G66" s="27"/>
      <c r="H66" s="25"/>
      <c r="I66" s="25"/>
      <c r="J66" s="29"/>
    </row>
    <row r="67" spans="1:10" ht="14.5" x14ac:dyDescent="0.35">
      <c r="A67" s="24"/>
      <c r="B67" s="95" t="s">
        <v>227</v>
      </c>
      <c r="C67" s="101" t="s">
        <v>298</v>
      </c>
      <c r="D67" s="96"/>
      <c r="E67" s="96" t="s">
        <v>211</v>
      </c>
      <c r="F67" s="27"/>
      <c r="G67" s="27"/>
      <c r="H67" s="25"/>
      <c r="I67" s="25"/>
      <c r="J67" s="29"/>
    </row>
    <row r="68" spans="1:10" ht="14.5" x14ac:dyDescent="0.35">
      <c r="A68" s="24"/>
      <c r="B68" s="95" t="s">
        <v>228</v>
      </c>
      <c r="C68" s="101" t="s">
        <v>298</v>
      </c>
      <c r="D68" s="96"/>
      <c r="E68" s="96" t="s">
        <v>211</v>
      </c>
      <c r="F68" s="27"/>
      <c r="G68" s="27"/>
      <c r="H68" s="25"/>
      <c r="I68" s="25"/>
      <c r="J68" s="29"/>
    </row>
    <row r="69" spans="1:10" ht="14.5" x14ac:dyDescent="0.35">
      <c r="A69" s="24"/>
      <c r="B69" s="95" t="s">
        <v>229</v>
      </c>
      <c r="C69" s="101" t="s">
        <v>298</v>
      </c>
      <c r="D69" s="96"/>
      <c r="E69" s="96" t="s">
        <v>211</v>
      </c>
      <c r="F69" s="27"/>
      <c r="G69" s="27"/>
      <c r="H69" s="25"/>
      <c r="I69" s="25"/>
      <c r="J69" s="29"/>
    </row>
    <row r="70" spans="1:10" ht="14.5" x14ac:dyDescent="0.35">
      <c r="A70" s="24"/>
      <c r="B70" s="95" t="s">
        <v>230</v>
      </c>
      <c r="C70" s="101" t="s">
        <v>298</v>
      </c>
      <c r="D70" s="96"/>
      <c r="E70" s="96" t="s">
        <v>211</v>
      </c>
      <c r="F70" s="27"/>
      <c r="G70" s="27"/>
      <c r="H70" s="25"/>
      <c r="I70" s="25"/>
      <c r="J70" s="29"/>
    </row>
    <row r="71" spans="1:10" ht="14.5" x14ac:dyDescent="0.35">
      <c r="A71" s="24"/>
      <c r="B71" s="95" t="s">
        <v>231</v>
      </c>
      <c r="C71" s="101" t="s">
        <v>298</v>
      </c>
      <c r="D71" s="96"/>
      <c r="E71" s="96" t="s">
        <v>211</v>
      </c>
      <c r="F71" s="27"/>
      <c r="G71" s="27"/>
      <c r="H71" s="25"/>
      <c r="I71" s="25"/>
      <c r="J71" s="29"/>
    </row>
    <row r="72" spans="1:10" ht="14.5" x14ac:dyDescent="0.35">
      <c r="A72" s="24"/>
      <c r="B72" s="95" t="s">
        <v>232</v>
      </c>
      <c r="C72" s="101" t="s">
        <v>298</v>
      </c>
      <c r="D72" s="96"/>
      <c r="E72" s="96" t="s">
        <v>211</v>
      </c>
      <c r="F72" s="27"/>
      <c r="G72" s="27"/>
      <c r="H72" s="25"/>
      <c r="I72" s="25"/>
      <c r="J72" s="29"/>
    </row>
    <row r="73" spans="1:10" ht="14.5" x14ac:dyDescent="0.35">
      <c r="A73" s="24"/>
      <c r="B73" s="95" t="s">
        <v>233</v>
      </c>
      <c r="C73" s="101" t="s">
        <v>298</v>
      </c>
      <c r="D73" s="96"/>
      <c r="E73" s="96" t="s">
        <v>211</v>
      </c>
      <c r="F73" s="27"/>
      <c r="G73" s="27"/>
      <c r="H73" s="25"/>
      <c r="I73" s="25"/>
      <c r="J73" s="29"/>
    </row>
    <row r="74" spans="1:10" ht="14.5" x14ac:dyDescent="0.35">
      <c r="A74" s="24"/>
      <c r="B74" s="95" t="s">
        <v>234</v>
      </c>
      <c r="C74" s="101" t="s">
        <v>298</v>
      </c>
      <c r="D74" s="96"/>
      <c r="E74" s="96" t="s">
        <v>211</v>
      </c>
      <c r="F74" s="27"/>
      <c r="G74" s="27"/>
      <c r="H74" s="25"/>
      <c r="I74" s="25"/>
      <c r="J74" s="29"/>
    </row>
    <row r="75" spans="1:10" ht="14.5" x14ac:dyDescent="0.35">
      <c r="A75" s="24"/>
      <c r="B75" s="95" t="s">
        <v>235</v>
      </c>
      <c r="C75" s="101" t="s">
        <v>298</v>
      </c>
      <c r="D75" s="96"/>
      <c r="E75" s="96" t="s">
        <v>211</v>
      </c>
      <c r="F75" s="27"/>
      <c r="G75" s="27"/>
      <c r="H75" s="25"/>
      <c r="I75" s="25"/>
      <c r="J75" s="29"/>
    </row>
    <row r="76" spans="1:10" ht="14.5" x14ac:dyDescent="0.35">
      <c r="A76" s="24" t="s">
        <v>366</v>
      </c>
      <c r="B76" s="95" t="s">
        <v>352</v>
      </c>
      <c r="C76" s="101" t="s">
        <v>298</v>
      </c>
      <c r="D76" s="96"/>
      <c r="E76" s="96" t="s">
        <v>211</v>
      </c>
      <c r="F76" s="27"/>
      <c r="G76" s="27"/>
      <c r="H76" s="25"/>
      <c r="I76" s="25"/>
      <c r="J76" s="29"/>
    </row>
    <row r="77" spans="1:10" ht="14.5" x14ac:dyDescent="0.35">
      <c r="A77" s="99" t="s">
        <v>237</v>
      </c>
      <c r="B77" s="95" t="s">
        <v>236</v>
      </c>
      <c r="C77" s="101" t="s">
        <v>298</v>
      </c>
      <c r="D77" s="96"/>
      <c r="E77" s="96" t="s">
        <v>211</v>
      </c>
      <c r="F77" s="27"/>
      <c r="G77" s="27"/>
      <c r="H77" s="25"/>
      <c r="I77" s="25"/>
      <c r="J77" s="29"/>
    </row>
    <row r="78" spans="1:10" ht="15" thickBot="1" x14ac:dyDescent="0.4">
      <c r="A78" s="100" t="s">
        <v>237</v>
      </c>
      <c r="B78" s="97" t="s">
        <v>238</v>
      </c>
      <c r="C78" s="97" t="s">
        <v>298</v>
      </c>
      <c r="D78" s="98"/>
      <c r="E78" s="98" t="s">
        <v>211</v>
      </c>
      <c r="F78" s="37"/>
      <c r="G78" s="37"/>
      <c r="H78" s="36"/>
      <c r="I78" s="36"/>
      <c r="J78" s="38"/>
    </row>
    <row r="79" spans="1:10" x14ac:dyDescent="0.35">
      <c r="A79" s="24" t="s">
        <v>366</v>
      </c>
      <c r="B79" s="23" t="s">
        <v>639</v>
      </c>
      <c r="C79" s="23" t="s">
        <v>298</v>
      </c>
      <c r="E79" s="23" t="s">
        <v>211</v>
      </c>
    </row>
    <row r="80" spans="1:10" x14ac:dyDescent="0.35">
      <c r="A80" s="24" t="s">
        <v>366</v>
      </c>
      <c r="B80" s="23" t="s">
        <v>640</v>
      </c>
      <c r="C80" s="23" t="s">
        <v>298</v>
      </c>
      <c r="E80" s="23" t="s">
        <v>211</v>
      </c>
    </row>
    <row r="87" spans="6:6" x14ac:dyDescent="0.35">
      <c r="F87" s="112"/>
    </row>
    <row r="88" spans="6:6" x14ac:dyDescent="0.35">
      <c r="F88" s="112"/>
    </row>
  </sheetData>
  <autoFilter ref="A1:J80" xr:uid="{C13BE66E-8B74-4FAB-A92C-18762B3B66A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EDEE-BA9D-4E45-B6DA-F0F19CC1DCC9}">
  <dimension ref="A1:J41"/>
  <sheetViews>
    <sheetView showGridLines="0" topLeftCell="A30" workbookViewId="0">
      <selection activeCell="E34" sqref="E34"/>
    </sheetView>
  </sheetViews>
  <sheetFormatPr defaultColWidth="8.7265625" defaultRowHeight="14.5" x14ac:dyDescent="0.35"/>
  <cols>
    <col min="1" max="1" width="8.7265625" style="39"/>
    <col min="2" max="2" width="37.1796875" style="39" bestFit="1" customWidth="1"/>
    <col min="3" max="3" width="14.7265625" style="39" bestFit="1" customWidth="1"/>
    <col min="4" max="4" width="9.36328125" style="39" bestFit="1" customWidth="1"/>
    <col min="5" max="5" width="14.1796875" style="1" bestFit="1" customWidth="1"/>
    <col min="6" max="6" width="12.1796875" style="39" bestFit="1" customWidth="1"/>
    <col min="7" max="7" width="13.81640625" style="1" bestFit="1" customWidth="1"/>
    <col min="8" max="8" width="32.81640625" style="39" bestFit="1" customWidth="1"/>
    <col min="9" max="9" width="25.26953125" style="39" customWidth="1"/>
    <col min="10" max="10" width="14.1796875" style="39" customWidth="1"/>
    <col min="11" max="16384" width="8.7265625" style="39"/>
  </cols>
  <sheetData>
    <row r="1" spans="1:10" s="1" customFormat="1" ht="14.5" customHeight="1" thickBot="1" x14ac:dyDescent="0.4">
      <c r="A1" s="2" t="s">
        <v>0</v>
      </c>
      <c r="B1" s="3" t="s">
        <v>1</v>
      </c>
      <c r="C1" s="3" t="s">
        <v>2</v>
      </c>
      <c r="D1" s="3" t="s">
        <v>3</v>
      </c>
      <c r="E1" s="3" t="s">
        <v>4</v>
      </c>
      <c r="F1" s="3" t="s">
        <v>5</v>
      </c>
      <c r="G1" s="3" t="s">
        <v>6</v>
      </c>
      <c r="H1" s="79" t="s">
        <v>7</v>
      </c>
      <c r="I1" s="81" t="s">
        <v>45</v>
      </c>
      <c r="J1" s="169" t="s">
        <v>46</v>
      </c>
    </row>
    <row r="2" spans="1:10" x14ac:dyDescent="0.35">
      <c r="A2" s="199" t="s">
        <v>8</v>
      </c>
      <c r="B2" s="139" t="s">
        <v>9</v>
      </c>
      <c r="C2" s="40" t="s">
        <v>11</v>
      </c>
      <c r="D2" s="41"/>
      <c r="E2" s="42" t="s">
        <v>12</v>
      </c>
      <c r="F2" s="41"/>
      <c r="G2" s="43"/>
      <c r="H2" s="108"/>
      <c r="I2" s="40"/>
      <c r="J2" s="82"/>
    </row>
    <row r="3" spans="1:10" x14ac:dyDescent="0.35">
      <c r="A3" s="200"/>
      <c r="B3" s="140" t="s">
        <v>290</v>
      </c>
      <c r="C3" s="44" t="s">
        <v>11</v>
      </c>
      <c r="D3" s="45"/>
      <c r="E3" s="46"/>
      <c r="F3" s="45"/>
      <c r="G3" s="47"/>
      <c r="H3" s="109"/>
      <c r="I3" s="44"/>
      <c r="J3" s="83"/>
    </row>
    <row r="4" spans="1:10" x14ac:dyDescent="0.35">
      <c r="A4" s="200"/>
      <c r="B4" s="140" t="s">
        <v>10</v>
      </c>
      <c r="C4" s="44" t="s">
        <v>11</v>
      </c>
      <c r="D4" s="45"/>
      <c r="E4" s="46"/>
      <c r="F4" s="45"/>
      <c r="G4" s="47"/>
      <c r="H4" s="109"/>
      <c r="I4" s="44"/>
      <c r="J4" s="83"/>
    </row>
    <row r="5" spans="1:10" x14ac:dyDescent="0.35">
      <c r="A5" s="200"/>
      <c r="B5" s="140" t="s">
        <v>13</v>
      </c>
      <c r="C5" s="44" t="s">
        <v>11</v>
      </c>
      <c r="D5" s="45"/>
      <c r="E5" s="46"/>
      <c r="F5" s="45"/>
      <c r="G5" s="47"/>
      <c r="H5" s="109"/>
      <c r="I5" s="44"/>
      <c r="J5" s="83"/>
    </row>
    <row r="6" spans="1:10" x14ac:dyDescent="0.35">
      <c r="A6" s="200"/>
      <c r="B6" s="140" t="s">
        <v>14</v>
      </c>
      <c r="C6" s="44" t="s">
        <v>11</v>
      </c>
      <c r="D6" s="44"/>
      <c r="E6" s="47"/>
      <c r="F6" s="44"/>
      <c r="G6" s="47"/>
      <c r="H6" s="109"/>
      <c r="I6" s="44"/>
      <c r="J6" s="83"/>
    </row>
    <row r="7" spans="1:10" x14ac:dyDescent="0.35">
      <c r="A7" s="200"/>
      <c r="B7" s="140" t="s">
        <v>15</v>
      </c>
      <c r="C7" s="44" t="s">
        <v>11</v>
      </c>
      <c r="D7" s="44"/>
      <c r="E7" s="47"/>
      <c r="F7" s="44"/>
      <c r="G7" s="47"/>
      <c r="H7" s="109"/>
      <c r="I7" s="44"/>
      <c r="J7" s="83"/>
    </row>
    <row r="8" spans="1:10" x14ac:dyDescent="0.35">
      <c r="A8" s="200"/>
      <c r="B8" s="140" t="s">
        <v>16</v>
      </c>
      <c r="C8" s="44" t="s">
        <v>11</v>
      </c>
      <c r="D8" s="45"/>
      <c r="E8" s="47"/>
      <c r="F8" s="44"/>
      <c r="G8" s="47"/>
      <c r="H8" s="109"/>
      <c r="I8" s="44"/>
      <c r="J8" s="83"/>
    </row>
    <row r="9" spans="1:10" x14ac:dyDescent="0.35">
      <c r="A9" s="200"/>
      <c r="B9" s="140" t="s">
        <v>342</v>
      </c>
      <c r="C9" s="44" t="s">
        <v>11</v>
      </c>
      <c r="D9" s="45"/>
      <c r="E9" s="47"/>
      <c r="F9" s="44"/>
      <c r="G9" s="47"/>
      <c r="H9" s="109"/>
      <c r="I9" s="44"/>
      <c r="J9" s="83"/>
    </row>
    <row r="10" spans="1:10" x14ac:dyDescent="0.35">
      <c r="A10" s="200"/>
      <c r="B10" s="140" t="s">
        <v>404</v>
      </c>
      <c r="C10" s="44" t="s">
        <v>11</v>
      </c>
      <c r="D10" s="45"/>
      <c r="E10" s="47"/>
      <c r="F10" s="44"/>
      <c r="G10" s="47"/>
      <c r="H10" s="109"/>
      <c r="I10" s="44"/>
      <c r="J10" s="83"/>
    </row>
    <row r="11" spans="1:10" ht="116" x14ac:dyDescent="0.35">
      <c r="A11" s="200"/>
      <c r="B11" s="140" t="s">
        <v>473</v>
      </c>
      <c r="C11" s="44" t="s">
        <v>11</v>
      </c>
      <c r="D11" s="45"/>
      <c r="E11" s="47"/>
      <c r="F11" s="44"/>
      <c r="G11" s="47"/>
      <c r="H11" s="109" t="s">
        <v>628</v>
      </c>
      <c r="I11" s="44"/>
      <c r="J11" s="83"/>
    </row>
    <row r="12" spans="1:10" x14ac:dyDescent="0.35">
      <c r="A12" s="200"/>
      <c r="B12" s="140" t="s">
        <v>17</v>
      </c>
      <c r="C12" s="44" t="s">
        <v>11</v>
      </c>
      <c r="D12" s="44"/>
      <c r="E12" s="47"/>
      <c r="F12" s="44"/>
      <c r="G12" s="47"/>
      <c r="H12" s="109"/>
      <c r="I12" s="109"/>
      <c r="J12" s="170"/>
    </row>
    <row r="13" spans="1:10" ht="29" x14ac:dyDescent="0.35">
      <c r="A13" s="200"/>
      <c r="B13" s="140" t="s">
        <v>604</v>
      </c>
      <c r="C13" s="44" t="s">
        <v>11</v>
      </c>
      <c r="D13" s="45"/>
      <c r="E13" s="47"/>
      <c r="F13" s="44"/>
      <c r="G13" s="47"/>
      <c r="H13" s="109" t="s">
        <v>629</v>
      </c>
      <c r="I13" s="109"/>
      <c r="J13" s="170"/>
    </row>
    <row r="14" spans="1:10" ht="58.5" thickBot="1" x14ac:dyDescent="0.4">
      <c r="A14" s="200"/>
      <c r="B14" s="176" t="s">
        <v>605</v>
      </c>
      <c r="C14" s="115" t="s">
        <v>24</v>
      </c>
      <c r="D14" s="115"/>
      <c r="E14" s="133"/>
      <c r="F14" s="115"/>
      <c r="G14" s="133"/>
      <c r="H14" s="171" t="s">
        <v>722</v>
      </c>
      <c r="I14" s="171"/>
      <c r="J14" s="172"/>
    </row>
    <row r="15" spans="1:10" x14ac:dyDescent="0.35">
      <c r="A15" s="199" t="s">
        <v>18</v>
      </c>
      <c r="B15" s="139" t="s">
        <v>19</v>
      </c>
      <c r="C15" s="40" t="s">
        <v>11</v>
      </c>
      <c r="D15" s="41"/>
      <c r="E15" s="42" t="s">
        <v>12</v>
      </c>
      <c r="F15" s="41"/>
      <c r="G15" s="80"/>
      <c r="H15" s="108"/>
      <c r="I15" s="40"/>
      <c r="J15" s="82"/>
    </row>
    <row r="16" spans="1:10" x14ac:dyDescent="0.35">
      <c r="A16" s="200"/>
      <c r="B16" s="140" t="s">
        <v>299</v>
      </c>
      <c r="C16" s="44" t="s">
        <v>11</v>
      </c>
      <c r="D16" s="45"/>
      <c r="E16" s="46"/>
      <c r="F16" s="45"/>
      <c r="G16" s="113"/>
      <c r="H16" s="109"/>
      <c r="I16" s="44"/>
      <c r="J16" s="83"/>
    </row>
    <row r="17" spans="1:10" x14ac:dyDescent="0.35">
      <c r="A17" s="200"/>
      <c r="B17" s="140" t="s">
        <v>20</v>
      </c>
      <c r="C17" s="44" t="s">
        <v>11</v>
      </c>
      <c r="D17" s="45"/>
      <c r="E17" s="46"/>
      <c r="F17" s="45"/>
      <c r="G17" s="47"/>
      <c r="H17" s="109"/>
      <c r="I17" s="44"/>
      <c r="J17" s="83"/>
    </row>
    <row r="18" spans="1:10" x14ac:dyDescent="0.35">
      <c r="A18" s="200"/>
      <c r="B18" s="140" t="s">
        <v>22</v>
      </c>
      <c r="C18" s="44" t="s">
        <v>11</v>
      </c>
      <c r="D18" s="45"/>
      <c r="E18" s="46"/>
      <c r="F18" s="45"/>
      <c r="G18" s="47"/>
      <c r="H18" s="109"/>
      <c r="I18" s="44"/>
      <c r="J18" s="83"/>
    </row>
    <row r="19" spans="1:10" x14ac:dyDescent="0.35">
      <c r="A19" s="200"/>
      <c r="B19" s="140" t="s">
        <v>23</v>
      </c>
      <c r="C19" s="44" t="s">
        <v>11</v>
      </c>
      <c r="D19" s="45"/>
      <c r="E19" s="46"/>
      <c r="F19" s="45"/>
      <c r="G19" s="47"/>
      <c r="H19" s="109"/>
      <c r="I19" s="44"/>
      <c r="J19" s="83"/>
    </row>
    <row r="20" spans="1:10" x14ac:dyDescent="0.35">
      <c r="A20" s="200"/>
      <c r="B20" s="140" t="s">
        <v>25</v>
      </c>
      <c r="C20" s="44" t="s">
        <v>11</v>
      </c>
      <c r="D20" s="44"/>
      <c r="E20" s="47"/>
      <c r="F20" s="44"/>
      <c r="G20" s="47"/>
      <c r="H20" s="109"/>
      <c r="I20" s="44"/>
      <c r="J20" s="83"/>
    </row>
    <row r="21" spans="1:10" x14ac:dyDescent="0.35">
      <c r="A21" s="200"/>
      <c r="B21" s="140" t="s">
        <v>26</v>
      </c>
      <c r="C21" s="44" t="s">
        <v>11</v>
      </c>
      <c r="D21" s="44"/>
      <c r="E21" s="47"/>
      <c r="F21" s="44"/>
      <c r="G21" s="47"/>
      <c r="H21" s="109"/>
      <c r="I21" s="44"/>
      <c r="J21" s="83"/>
    </row>
    <row r="22" spans="1:10" x14ac:dyDescent="0.35">
      <c r="A22" s="200"/>
      <c r="B22" s="140" t="s">
        <v>27</v>
      </c>
      <c r="C22" s="44" t="s">
        <v>11</v>
      </c>
      <c r="D22" s="44"/>
      <c r="E22" s="47"/>
      <c r="F22" s="44"/>
      <c r="G22" s="47"/>
      <c r="H22" s="109"/>
      <c r="I22" s="44"/>
      <c r="J22" s="83"/>
    </row>
    <row r="23" spans="1:10" x14ac:dyDescent="0.35">
      <c r="A23" s="200"/>
      <c r="B23" s="140" t="s">
        <v>28</v>
      </c>
      <c r="C23" s="44" t="s">
        <v>11</v>
      </c>
      <c r="D23" s="44"/>
      <c r="E23" s="47"/>
      <c r="F23" s="44"/>
      <c r="G23" s="47"/>
      <c r="H23" s="109"/>
      <c r="I23" s="44"/>
      <c r="J23" s="83"/>
    </row>
    <row r="24" spans="1:10" x14ac:dyDescent="0.35">
      <c r="A24" s="200"/>
      <c r="B24" s="140" t="s">
        <v>311</v>
      </c>
      <c r="C24" s="44" t="s">
        <v>11</v>
      </c>
      <c r="D24" s="44"/>
      <c r="E24" s="47"/>
      <c r="F24" s="44"/>
      <c r="G24" s="47"/>
      <c r="H24" s="109"/>
      <c r="I24" s="44"/>
      <c r="J24" s="83"/>
    </row>
    <row r="25" spans="1:10" ht="145" x14ac:dyDescent="0.35">
      <c r="A25" s="200"/>
      <c r="B25" s="140" t="s">
        <v>405</v>
      </c>
      <c r="C25" s="44" t="s">
        <v>61</v>
      </c>
      <c r="D25" s="44"/>
      <c r="E25" s="47"/>
      <c r="F25" s="44"/>
      <c r="G25" s="47"/>
      <c r="H25" s="109" t="s">
        <v>723</v>
      </c>
      <c r="I25" s="44" t="s">
        <v>616</v>
      </c>
      <c r="J25" s="170" t="s">
        <v>617</v>
      </c>
    </row>
    <row r="26" spans="1:10" ht="58" x14ac:dyDescent="0.35">
      <c r="A26" s="200"/>
      <c r="B26" s="140" t="s">
        <v>406</v>
      </c>
      <c r="C26" s="44" t="s">
        <v>11</v>
      </c>
      <c r="D26" s="45"/>
      <c r="E26" s="47"/>
      <c r="F26" s="44"/>
      <c r="G26" s="47"/>
      <c r="H26" s="109" t="s">
        <v>615</v>
      </c>
      <c r="I26" s="44"/>
      <c r="J26" s="83"/>
    </row>
    <row r="27" spans="1:10" x14ac:dyDescent="0.35">
      <c r="A27" s="200"/>
      <c r="B27" s="140" t="s">
        <v>341</v>
      </c>
      <c r="C27" s="44" t="s">
        <v>11</v>
      </c>
      <c r="D27" s="44"/>
      <c r="E27" s="47"/>
      <c r="F27" s="44"/>
      <c r="G27" s="47"/>
      <c r="H27" s="109"/>
      <c r="I27" s="44"/>
      <c r="J27" s="83"/>
    </row>
    <row r="28" spans="1:10" x14ac:dyDescent="0.35">
      <c r="A28" s="200"/>
      <c r="B28" s="140" t="s">
        <v>368</v>
      </c>
      <c r="C28" s="44" t="s">
        <v>11</v>
      </c>
      <c r="D28" s="44"/>
      <c r="E28" s="47"/>
      <c r="F28" s="44"/>
      <c r="G28" s="47"/>
      <c r="H28" s="109"/>
      <c r="I28" s="44"/>
      <c r="J28" s="83"/>
    </row>
    <row r="29" spans="1:10" ht="58.5" thickBot="1" x14ac:dyDescent="0.4">
      <c r="A29" s="200"/>
      <c r="B29" s="176" t="s">
        <v>603</v>
      </c>
      <c r="C29" s="115" t="s">
        <v>24</v>
      </c>
      <c r="D29" s="115"/>
      <c r="E29" s="133"/>
      <c r="F29" s="115"/>
      <c r="G29" s="133"/>
      <c r="H29" s="171" t="s">
        <v>724</v>
      </c>
      <c r="I29" s="115"/>
      <c r="J29" s="174"/>
    </row>
    <row r="30" spans="1:10" ht="87" x14ac:dyDescent="0.35">
      <c r="A30" s="201" t="s">
        <v>29</v>
      </c>
      <c r="B30" s="139" t="s">
        <v>289</v>
      </c>
      <c r="C30" s="40" t="s">
        <v>11</v>
      </c>
      <c r="D30" s="41"/>
      <c r="E30" s="42" t="s">
        <v>31</v>
      </c>
      <c r="F30" s="41" t="s">
        <v>32</v>
      </c>
      <c r="G30" s="80"/>
      <c r="H30" s="108"/>
      <c r="I30" s="108" t="s">
        <v>444</v>
      </c>
      <c r="J30" s="82"/>
    </row>
    <row r="31" spans="1:10" x14ac:dyDescent="0.35">
      <c r="A31" s="202"/>
      <c r="B31" s="140" t="s">
        <v>30</v>
      </c>
      <c r="C31" s="44" t="s">
        <v>11</v>
      </c>
      <c r="D31" s="45"/>
      <c r="E31" s="46"/>
      <c r="F31" s="45"/>
      <c r="G31" s="113"/>
      <c r="H31" s="109"/>
      <c r="I31" s="44"/>
      <c r="J31" s="83"/>
    </row>
    <row r="32" spans="1:10" x14ac:dyDescent="0.35">
      <c r="A32" s="202"/>
      <c r="B32" s="140" t="s">
        <v>33</v>
      </c>
      <c r="C32" s="44" t="s">
        <v>11</v>
      </c>
      <c r="D32" s="45"/>
      <c r="E32" s="47"/>
      <c r="F32" s="44"/>
      <c r="G32" s="47"/>
      <c r="H32" s="109"/>
      <c r="I32" s="44"/>
      <c r="J32" s="83"/>
    </row>
    <row r="33" spans="1:10" x14ac:dyDescent="0.35">
      <c r="A33" s="202"/>
      <c r="B33" s="140" t="s">
        <v>34</v>
      </c>
      <c r="C33" s="44" t="s">
        <v>11</v>
      </c>
      <c r="D33" s="44"/>
      <c r="E33" s="47"/>
      <c r="F33" s="44"/>
      <c r="G33" s="47"/>
      <c r="H33" s="109"/>
      <c r="I33" s="44"/>
      <c r="J33" s="83"/>
    </row>
    <row r="34" spans="1:10" x14ac:dyDescent="0.35">
      <c r="A34" s="202"/>
      <c r="B34" s="140" t="s">
        <v>35</v>
      </c>
      <c r="C34" s="44" t="s">
        <v>11</v>
      </c>
      <c r="D34" s="44"/>
      <c r="E34" s="47"/>
      <c r="F34" s="44"/>
      <c r="G34" s="47"/>
      <c r="H34" s="109"/>
      <c r="I34" s="44"/>
      <c r="J34" s="83"/>
    </row>
    <row r="35" spans="1:10" x14ac:dyDescent="0.35">
      <c r="A35" s="202"/>
      <c r="B35" s="140" t="s">
        <v>36</v>
      </c>
      <c r="C35" s="44" t="s">
        <v>11</v>
      </c>
      <c r="D35" s="44"/>
      <c r="E35" s="47"/>
      <c r="F35" s="44"/>
      <c r="G35" s="47"/>
      <c r="H35" s="109"/>
      <c r="I35" s="44"/>
      <c r="J35" s="83"/>
    </row>
    <row r="36" spans="1:10" x14ac:dyDescent="0.35">
      <c r="A36" s="202"/>
      <c r="B36" s="140" t="s">
        <v>37</v>
      </c>
      <c r="C36" s="44" t="s">
        <v>11</v>
      </c>
      <c r="D36" s="44"/>
      <c r="E36" s="47"/>
      <c r="F36" s="44"/>
      <c r="G36" s="47"/>
      <c r="H36" s="109"/>
      <c r="I36" s="44"/>
      <c r="J36" s="83"/>
    </row>
    <row r="37" spans="1:10" x14ac:dyDescent="0.35">
      <c r="A37" s="202"/>
      <c r="B37" s="140" t="s">
        <v>38</v>
      </c>
      <c r="C37" s="44" t="s">
        <v>11</v>
      </c>
      <c r="D37" s="44"/>
      <c r="E37" s="47"/>
      <c r="F37" s="44"/>
      <c r="G37" s="47"/>
      <c r="H37" s="109"/>
      <c r="I37" s="44"/>
      <c r="J37" s="83"/>
    </row>
    <row r="38" spans="1:10" x14ac:dyDescent="0.35">
      <c r="A38" s="202"/>
      <c r="B38" s="140" t="s">
        <v>407</v>
      </c>
      <c r="C38" s="44" t="s">
        <v>11</v>
      </c>
      <c r="D38" s="45"/>
      <c r="E38" s="47"/>
      <c r="F38" s="44"/>
      <c r="G38" s="47"/>
      <c r="H38" s="44"/>
      <c r="I38" s="44"/>
      <c r="J38" s="83"/>
    </row>
    <row r="39" spans="1:10" ht="29" x14ac:dyDescent="0.35">
      <c r="A39" s="202"/>
      <c r="B39" s="140" t="s">
        <v>408</v>
      </c>
      <c r="C39" s="44" t="s">
        <v>303</v>
      </c>
      <c r="D39" s="45"/>
      <c r="E39" s="47"/>
      <c r="F39" s="44"/>
      <c r="G39" s="47"/>
      <c r="H39" s="109" t="s">
        <v>726</v>
      </c>
      <c r="I39" s="44"/>
      <c r="J39" s="83"/>
    </row>
    <row r="40" spans="1:10" ht="15" thickBot="1" x14ac:dyDescent="0.4">
      <c r="A40" s="203"/>
      <c r="B40" s="141" t="s">
        <v>472</v>
      </c>
      <c r="C40" s="48" t="s">
        <v>11</v>
      </c>
      <c r="D40" s="175"/>
      <c r="E40" s="49"/>
      <c r="F40" s="48"/>
      <c r="G40" s="49"/>
      <c r="H40" s="48"/>
      <c r="I40" s="48"/>
      <c r="J40" s="173"/>
    </row>
    <row r="41" spans="1:10" x14ac:dyDescent="0.35">
      <c r="A41" s="39" t="s">
        <v>725</v>
      </c>
      <c r="B41" s="39" t="s">
        <v>727</v>
      </c>
      <c r="C41" s="39" t="s">
        <v>21</v>
      </c>
      <c r="H41" s="39" t="s">
        <v>728</v>
      </c>
    </row>
  </sheetData>
  <autoFilter ref="A1:J41" xr:uid="{7CB6EDEE-BA9D-4E45-B6DA-F0F19CC1DCC9}"/>
  <mergeCells count="3">
    <mergeCell ref="A2:A14"/>
    <mergeCell ref="A15:A29"/>
    <mergeCell ref="A30:A40"/>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14BF3-FEFE-466A-B133-5A6DA2D21FC1}">
  <dimension ref="A1:I74"/>
  <sheetViews>
    <sheetView showGridLines="0" topLeftCell="A55" workbookViewId="0">
      <selection activeCell="E67" sqref="E67"/>
    </sheetView>
  </sheetViews>
  <sheetFormatPr defaultColWidth="8.7265625" defaultRowHeight="14.5" x14ac:dyDescent="0.35"/>
  <cols>
    <col min="1" max="1" width="8.7265625" style="39"/>
    <col min="2" max="2" width="41.54296875" style="39" bestFit="1" customWidth="1"/>
    <col min="3" max="3" width="11.54296875" style="39" bestFit="1" customWidth="1"/>
    <col min="4" max="4" width="9.90625" style="1" bestFit="1" customWidth="1"/>
    <col min="5" max="5" width="22.1796875" style="1" bestFit="1" customWidth="1"/>
    <col min="6" max="6" width="32.81640625" style="39" bestFit="1" customWidth="1"/>
    <col min="7" max="7" width="19.453125" style="39" bestFit="1" customWidth="1"/>
    <col min="8" max="8" width="18" style="39" customWidth="1"/>
    <col min="9" max="16384" width="8.7265625" style="39"/>
  </cols>
  <sheetData>
    <row r="1" spans="1:9" s="1" customFormat="1" ht="15" thickBot="1" x14ac:dyDescent="0.4">
      <c r="A1" s="2" t="s">
        <v>0</v>
      </c>
      <c r="B1" s="3" t="s">
        <v>1</v>
      </c>
      <c r="C1" s="3" t="s">
        <v>2</v>
      </c>
      <c r="D1" s="3" t="s">
        <v>3</v>
      </c>
      <c r="E1" s="3" t="s">
        <v>6</v>
      </c>
      <c r="F1" s="3" t="s">
        <v>7</v>
      </c>
      <c r="G1" s="3" t="s">
        <v>45</v>
      </c>
      <c r="H1" s="4" t="s">
        <v>46</v>
      </c>
    </row>
    <row r="2" spans="1:9" s="5" customFormat="1" ht="12" x14ac:dyDescent="0.35">
      <c r="A2" s="91" t="s">
        <v>55</v>
      </c>
      <c r="B2" s="7" t="s">
        <v>57</v>
      </c>
      <c r="C2" s="7" t="s">
        <v>11</v>
      </c>
      <c r="D2" s="65"/>
      <c r="E2" s="8"/>
      <c r="F2" s="84"/>
      <c r="G2" s="84"/>
      <c r="H2" s="9"/>
      <c r="I2" s="5">
        <f>160*5</f>
        <v>800</v>
      </c>
    </row>
    <row r="3" spans="1:9" s="5" customFormat="1" ht="12" x14ac:dyDescent="0.35">
      <c r="A3" s="6"/>
      <c r="B3" s="7" t="s">
        <v>58</v>
      </c>
      <c r="C3" s="7" t="s">
        <v>11</v>
      </c>
      <c r="D3" s="65"/>
      <c r="E3" s="8"/>
      <c r="F3" s="84"/>
      <c r="G3" s="84"/>
      <c r="H3" s="9"/>
    </row>
    <row r="4" spans="1:9" s="5" customFormat="1" ht="12" x14ac:dyDescent="0.35">
      <c r="A4" s="6"/>
      <c r="B4" s="7" t="s">
        <v>59</v>
      </c>
      <c r="C4" s="7" t="s">
        <v>11</v>
      </c>
      <c r="D4" s="65"/>
      <c r="E4" s="8"/>
      <c r="F4" s="84"/>
      <c r="G4" s="84"/>
      <c r="H4" s="9"/>
    </row>
    <row r="5" spans="1:9" s="5" customFormat="1" ht="12" x14ac:dyDescent="0.35">
      <c r="A5" s="6"/>
      <c r="B5" s="7" t="s">
        <v>60</v>
      </c>
      <c r="C5" s="7" t="s">
        <v>11</v>
      </c>
      <c r="D5" s="65"/>
      <c r="E5" s="8"/>
      <c r="F5" s="84"/>
      <c r="G5" s="84"/>
      <c r="H5" s="9"/>
    </row>
    <row r="6" spans="1:9" s="5" customFormat="1" ht="12" x14ac:dyDescent="0.35">
      <c r="A6" s="6"/>
      <c r="B6" s="7" t="s">
        <v>62</v>
      </c>
      <c r="C6" s="7" t="s">
        <v>11</v>
      </c>
      <c r="D6" s="65"/>
      <c r="E6" s="8"/>
      <c r="F6" s="84"/>
      <c r="G6" s="84"/>
      <c r="H6" s="9"/>
    </row>
    <row r="7" spans="1:9" s="5" customFormat="1" ht="12" x14ac:dyDescent="0.35">
      <c r="A7" s="6"/>
      <c r="B7" s="7" t="s">
        <v>63</v>
      </c>
      <c r="C7" s="7" t="s">
        <v>11</v>
      </c>
      <c r="D7" s="65"/>
      <c r="E7" s="8"/>
      <c r="F7" s="84"/>
      <c r="G7" s="84"/>
      <c r="H7" s="9"/>
    </row>
    <row r="8" spans="1:9" s="5" customFormat="1" ht="12" x14ac:dyDescent="0.35">
      <c r="A8" s="6"/>
      <c r="B8" s="7" t="s">
        <v>64</v>
      </c>
      <c r="C8" s="7" t="s">
        <v>11</v>
      </c>
      <c r="D8" s="65"/>
      <c r="E8" s="8"/>
      <c r="F8" s="84"/>
      <c r="G8" s="84"/>
      <c r="H8" s="9"/>
    </row>
    <row r="9" spans="1:9" s="5" customFormat="1" ht="12" x14ac:dyDescent="0.35">
      <c r="A9" s="6"/>
      <c r="B9" s="7" t="s">
        <v>65</v>
      </c>
      <c r="C9" s="7" t="s">
        <v>11</v>
      </c>
      <c r="D9" s="65"/>
      <c r="E9" s="8"/>
      <c r="F9" s="84"/>
      <c r="G9" s="84"/>
      <c r="H9" s="9"/>
    </row>
    <row r="10" spans="1:9" s="5" customFormat="1" ht="12" x14ac:dyDescent="0.35">
      <c r="A10" s="6"/>
      <c r="B10" s="7" t="s">
        <v>66</v>
      </c>
      <c r="C10" s="7" t="s">
        <v>11</v>
      </c>
      <c r="D10" s="65"/>
      <c r="E10" s="8"/>
      <c r="F10" s="84"/>
      <c r="G10" s="84"/>
      <c r="H10" s="9"/>
    </row>
    <row r="11" spans="1:9" s="5" customFormat="1" ht="12" x14ac:dyDescent="0.35">
      <c r="A11" s="6"/>
      <c r="B11" s="7" t="s">
        <v>67</v>
      </c>
      <c r="C11" s="7" t="s">
        <v>11</v>
      </c>
      <c r="D11" s="65"/>
      <c r="E11" s="8"/>
      <c r="F11" s="84"/>
      <c r="G11" s="84"/>
      <c r="H11" s="9"/>
    </row>
    <row r="12" spans="1:9" s="5" customFormat="1" ht="12" x14ac:dyDescent="0.35">
      <c r="A12" s="6"/>
      <c r="B12" s="7" t="s">
        <v>68</v>
      </c>
      <c r="C12" s="7" t="s">
        <v>11</v>
      </c>
      <c r="D12" s="65"/>
      <c r="E12" s="8"/>
      <c r="F12" s="84"/>
      <c r="G12" s="84"/>
      <c r="H12" s="9"/>
    </row>
    <row r="13" spans="1:9" s="5" customFormat="1" ht="12" x14ac:dyDescent="0.35">
      <c r="A13" s="6"/>
      <c r="B13" s="7" t="s">
        <v>69</v>
      </c>
      <c r="C13" s="7" t="s">
        <v>11</v>
      </c>
      <c r="D13" s="65"/>
      <c r="E13" s="8"/>
      <c r="F13" s="84"/>
      <c r="G13" s="84"/>
      <c r="H13" s="9"/>
    </row>
    <row r="14" spans="1:9" s="5" customFormat="1" ht="12" x14ac:dyDescent="0.35">
      <c r="A14" s="6"/>
      <c r="B14" s="7" t="s">
        <v>70</v>
      </c>
      <c r="C14" s="7" t="s">
        <v>11</v>
      </c>
      <c r="D14" s="65"/>
      <c r="E14" s="8"/>
      <c r="F14" s="84"/>
      <c r="G14" s="84"/>
      <c r="H14" s="9"/>
    </row>
    <row r="15" spans="1:9" s="5" customFormat="1" ht="12" x14ac:dyDescent="0.35">
      <c r="A15" s="10"/>
      <c r="B15" s="11" t="s">
        <v>348</v>
      </c>
      <c r="C15" s="11" t="s">
        <v>11</v>
      </c>
      <c r="D15" s="64"/>
      <c r="E15" s="12"/>
      <c r="F15" s="92"/>
      <c r="G15" s="92"/>
      <c r="H15" s="93"/>
    </row>
    <row r="16" spans="1:9" s="5" customFormat="1" ht="12" x14ac:dyDescent="0.35">
      <c r="A16" s="10"/>
      <c r="B16" s="11" t="s">
        <v>477</v>
      </c>
      <c r="C16" s="11" t="s">
        <v>11</v>
      </c>
      <c r="D16" s="64"/>
      <c r="E16" s="12"/>
      <c r="F16" s="92"/>
      <c r="G16" s="92"/>
      <c r="H16" s="93"/>
    </row>
    <row r="17" spans="1:8" s="5" customFormat="1" ht="12" x14ac:dyDescent="0.35">
      <c r="A17" s="10"/>
      <c r="B17" s="11" t="s">
        <v>479</v>
      </c>
      <c r="C17" s="11" t="s">
        <v>11</v>
      </c>
      <c r="D17" s="64"/>
      <c r="E17" s="12"/>
      <c r="F17" s="92"/>
      <c r="G17" s="92"/>
      <c r="H17" s="93"/>
    </row>
    <row r="18" spans="1:8" s="5" customFormat="1" ht="12" x14ac:dyDescent="0.35">
      <c r="A18" s="10"/>
      <c r="B18" s="11" t="s">
        <v>384</v>
      </c>
      <c r="C18" s="11" t="s">
        <v>11</v>
      </c>
      <c r="D18" s="64"/>
      <c r="E18" s="12"/>
      <c r="F18" s="92"/>
      <c r="G18" s="92"/>
      <c r="H18" s="93"/>
    </row>
    <row r="19" spans="1:8" s="5" customFormat="1" ht="12" x14ac:dyDescent="0.35">
      <c r="A19" s="10"/>
      <c r="B19" s="11" t="s">
        <v>480</v>
      </c>
      <c r="C19" s="11" t="s">
        <v>11</v>
      </c>
      <c r="D19" s="64"/>
      <c r="E19" s="12"/>
      <c r="F19" s="92"/>
      <c r="G19" s="92"/>
      <c r="H19" s="93"/>
    </row>
    <row r="20" spans="1:8" s="5" customFormat="1" ht="12" x14ac:dyDescent="0.35">
      <c r="A20" s="10"/>
      <c r="B20" s="11" t="s">
        <v>644</v>
      </c>
      <c r="C20" s="11" t="s">
        <v>11</v>
      </c>
      <c r="D20" s="64"/>
      <c r="E20" s="12"/>
      <c r="F20" s="92"/>
      <c r="G20" s="92"/>
      <c r="H20" s="93"/>
    </row>
    <row r="21" spans="1:8" s="5" customFormat="1" ht="12" x14ac:dyDescent="0.35">
      <c r="A21" s="10"/>
      <c r="B21" s="11" t="s">
        <v>714</v>
      </c>
      <c r="C21" s="11" t="s">
        <v>11</v>
      </c>
      <c r="D21" s="64"/>
      <c r="E21" s="12"/>
      <c r="F21" s="92"/>
      <c r="G21" s="92"/>
      <c r="H21" s="93"/>
    </row>
    <row r="22" spans="1:8" s="5" customFormat="1" ht="12" x14ac:dyDescent="0.35">
      <c r="A22" s="10"/>
      <c r="B22" s="11" t="s">
        <v>801</v>
      </c>
      <c r="C22" s="11" t="s">
        <v>113</v>
      </c>
      <c r="D22" s="64"/>
      <c r="E22" s="12"/>
      <c r="F22" s="92" t="s">
        <v>810</v>
      </c>
      <c r="G22" s="92"/>
      <c r="H22" s="93"/>
    </row>
    <row r="23" spans="1:8" s="5" customFormat="1" ht="12" x14ac:dyDescent="0.35">
      <c r="A23" s="10"/>
      <c r="B23" s="11" t="s">
        <v>811</v>
      </c>
      <c r="C23" s="11" t="s">
        <v>24</v>
      </c>
      <c r="D23" s="64"/>
      <c r="E23" s="12"/>
      <c r="F23" s="92" t="s">
        <v>812</v>
      </c>
      <c r="G23" s="92"/>
      <c r="H23" s="93"/>
    </row>
    <row r="24" spans="1:8" s="5" customFormat="1" ht="36" x14ac:dyDescent="0.35">
      <c r="A24" s="10"/>
      <c r="B24" s="11" t="s">
        <v>814</v>
      </c>
      <c r="C24" s="11" t="s">
        <v>333</v>
      </c>
      <c r="D24" s="64"/>
      <c r="E24" s="12"/>
      <c r="F24" s="92" t="s">
        <v>813</v>
      </c>
      <c r="G24" s="92"/>
      <c r="H24" s="93"/>
    </row>
    <row r="25" spans="1:8" s="5" customFormat="1" ht="24" x14ac:dyDescent="0.35">
      <c r="A25" s="10"/>
      <c r="B25" s="11" t="s">
        <v>815</v>
      </c>
      <c r="C25" s="11" t="s">
        <v>113</v>
      </c>
      <c r="D25" s="64"/>
      <c r="E25" s="12">
        <v>704</v>
      </c>
      <c r="F25" s="92" t="s">
        <v>816</v>
      </c>
      <c r="G25" s="92"/>
      <c r="H25" s="93"/>
    </row>
    <row r="26" spans="1:8" s="5" customFormat="1" ht="12" x14ac:dyDescent="0.35">
      <c r="A26" s="10"/>
      <c r="B26" s="11"/>
      <c r="C26" s="11"/>
      <c r="D26" s="64"/>
      <c r="E26" s="12"/>
      <c r="F26" s="92"/>
      <c r="G26" s="92"/>
      <c r="H26" s="93"/>
    </row>
    <row r="27" spans="1:8" s="5" customFormat="1" ht="12" x14ac:dyDescent="0.35">
      <c r="A27" s="10" t="s">
        <v>71</v>
      </c>
      <c r="B27" s="11" t="s">
        <v>72</v>
      </c>
      <c r="C27" s="11" t="s">
        <v>11</v>
      </c>
      <c r="D27" s="64"/>
      <c r="E27" s="12"/>
      <c r="F27" s="92"/>
      <c r="G27" s="11"/>
      <c r="H27" s="93"/>
    </row>
    <row r="28" spans="1:8" s="5" customFormat="1" ht="12" x14ac:dyDescent="0.35">
      <c r="A28" s="6"/>
      <c r="B28" s="7" t="s">
        <v>73</v>
      </c>
      <c r="C28" s="7" t="s">
        <v>11</v>
      </c>
      <c r="D28" s="65"/>
      <c r="E28" s="8"/>
      <c r="F28" s="84"/>
      <c r="G28" s="7"/>
      <c r="H28" s="9"/>
    </row>
    <row r="29" spans="1:8" s="5" customFormat="1" ht="12" x14ac:dyDescent="0.35">
      <c r="A29" s="6"/>
      <c r="B29" s="7" t="s">
        <v>74</v>
      </c>
      <c r="C29" s="7" t="s">
        <v>11</v>
      </c>
      <c r="D29" s="65"/>
      <c r="E29" s="8"/>
      <c r="F29" s="84"/>
      <c r="G29" s="7"/>
      <c r="H29" s="9"/>
    </row>
    <row r="30" spans="1:8" s="5" customFormat="1" ht="12" x14ac:dyDescent="0.35">
      <c r="A30" s="6"/>
      <c r="B30" s="7" t="s">
        <v>75</v>
      </c>
      <c r="C30" s="7" t="s">
        <v>11</v>
      </c>
      <c r="D30" s="65"/>
      <c r="E30" s="8"/>
      <c r="F30" s="84"/>
      <c r="G30" s="7"/>
      <c r="H30" s="9"/>
    </row>
    <row r="31" spans="1:8" s="5" customFormat="1" ht="12" x14ac:dyDescent="0.35">
      <c r="A31" s="6"/>
      <c r="B31" s="7" t="s">
        <v>76</v>
      </c>
      <c r="C31" s="7" t="s">
        <v>11</v>
      </c>
      <c r="D31" s="65"/>
      <c r="E31" s="8"/>
      <c r="F31" s="84"/>
      <c r="G31" s="7"/>
      <c r="H31" s="9"/>
    </row>
    <row r="32" spans="1:8" s="5" customFormat="1" ht="12" x14ac:dyDescent="0.35">
      <c r="A32" s="6"/>
      <c r="B32" s="7" t="s">
        <v>77</v>
      </c>
      <c r="C32" s="7" t="s">
        <v>11</v>
      </c>
      <c r="D32" s="65"/>
      <c r="E32" s="8"/>
      <c r="F32" s="84"/>
      <c r="G32" s="7"/>
      <c r="H32" s="9"/>
    </row>
    <row r="33" spans="1:8" s="5" customFormat="1" ht="12" x14ac:dyDescent="0.35">
      <c r="A33" s="6"/>
      <c r="B33" s="7" t="s">
        <v>78</v>
      </c>
      <c r="C33" s="7" t="s">
        <v>11</v>
      </c>
      <c r="D33" s="65"/>
      <c r="E33" s="8"/>
      <c r="F33" s="84"/>
      <c r="G33" s="7"/>
      <c r="H33" s="9"/>
    </row>
    <row r="34" spans="1:8" s="5" customFormat="1" ht="12" customHeight="1" x14ac:dyDescent="0.35">
      <c r="A34" s="6"/>
      <c r="B34" s="7" t="s">
        <v>79</v>
      </c>
      <c r="C34" s="7" t="s">
        <v>11</v>
      </c>
      <c r="D34" s="65"/>
      <c r="E34" s="8"/>
      <c r="F34" s="84"/>
      <c r="G34" s="7"/>
      <c r="H34" s="9"/>
    </row>
    <row r="35" spans="1:8" s="5" customFormat="1" ht="12" customHeight="1" x14ac:dyDescent="0.35">
      <c r="A35" s="6"/>
      <c r="B35" s="7" t="s">
        <v>80</v>
      </c>
      <c r="C35" s="7" t="s">
        <v>11</v>
      </c>
      <c r="D35" s="65"/>
      <c r="E35" s="8"/>
      <c r="F35" s="84"/>
      <c r="G35" s="7"/>
      <c r="H35" s="9"/>
    </row>
    <row r="36" spans="1:8" s="5" customFormat="1" ht="12" customHeight="1" x14ac:dyDescent="0.35">
      <c r="A36" s="6"/>
      <c r="B36" s="7" t="s">
        <v>81</v>
      </c>
      <c r="C36" s="7" t="s">
        <v>11</v>
      </c>
      <c r="D36" s="65"/>
      <c r="E36" s="8"/>
      <c r="F36" s="84"/>
      <c r="G36" s="7"/>
      <c r="H36" s="9"/>
    </row>
    <row r="37" spans="1:8" s="5" customFormat="1" ht="12" customHeight="1" x14ac:dyDescent="0.35">
      <c r="A37" s="6"/>
      <c r="B37" s="7" t="s">
        <v>82</v>
      </c>
      <c r="C37" s="7" t="s">
        <v>11</v>
      </c>
      <c r="D37" s="65"/>
      <c r="E37" s="8"/>
      <c r="F37" s="84"/>
      <c r="G37" s="7"/>
      <c r="H37" s="9"/>
    </row>
    <row r="38" spans="1:8" s="5" customFormat="1" ht="12" customHeight="1" x14ac:dyDescent="0.35">
      <c r="A38" s="6"/>
      <c r="B38" s="7" t="s">
        <v>83</v>
      </c>
      <c r="C38" s="7" t="s">
        <v>11</v>
      </c>
      <c r="D38" s="65"/>
      <c r="E38" s="8"/>
      <c r="F38" s="84"/>
      <c r="G38" s="7"/>
      <c r="H38" s="9"/>
    </row>
    <row r="39" spans="1:8" s="5" customFormat="1" ht="12" customHeight="1" x14ac:dyDescent="0.35">
      <c r="A39" s="85"/>
      <c r="B39" s="86" t="s">
        <v>84</v>
      </c>
      <c r="C39" s="86" t="s">
        <v>11</v>
      </c>
      <c r="D39" s="87"/>
      <c r="E39" s="88"/>
      <c r="F39" s="89"/>
      <c r="G39" s="86"/>
      <c r="H39" s="90"/>
    </row>
    <row r="40" spans="1:8" s="5" customFormat="1" ht="12" customHeight="1" x14ac:dyDescent="0.35">
      <c r="A40" s="85"/>
      <c r="B40" s="86" t="s">
        <v>159</v>
      </c>
      <c r="C40" s="86" t="s">
        <v>11</v>
      </c>
      <c r="D40" s="87"/>
      <c r="E40" s="88"/>
      <c r="F40" s="84"/>
      <c r="G40" s="86"/>
      <c r="H40" s="90"/>
    </row>
    <row r="41" spans="1:8" s="5" customFormat="1" ht="12" customHeight="1" x14ac:dyDescent="0.35">
      <c r="A41" s="85"/>
      <c r="B41" s="86" t="s">
        <v>160</v>
      </c>
      <c r="C41" s="86" t="s">
        <v>11</v>
      </c>
      <c r="D41" s="87"/>
      <c r="E41" s="88"/>
      <c r="F41" s="89"/>
      <c r="G41" s="86"/>
      <c r="H41" s="90"/>
    </row>
    <row r="42" spans="1:8" s="5" customFormat="1" ht="12" customHeight="1" x14ac:dyDescent="0.35">
      <c r="A42" s="85"/>
      <c r="B42" s="86" t="s">
        <v>268</v>
      </c>
      <c r="C42" s="86" t="s">
        <v>11</v>
      </c>
      <c r="D42" s="87"/>
      <c r="E42" s="88"/>
      <c r="F42" s="89"/>
      <c r="G42" s="86"/>
      <c r="H42" s="90"/>
    </row>
    <row r="43" spans="1:8" s="5" customFormat="1" ht="12" customHeight="1" x14ac:dyDescent="0.35">
      <c r="A43" s="85"/>
      <c r="B43" s="86" t="s">
        <v>308</v>
      </c>
      <c r="C43" s="86" t="s">
        <v>11</v>
      </c>
      <c r="D43" s="87"/>
      <c r="E43" s="88"/>
      <c r="F43" s="89"/>
      <c r="G43" s="86"/>
      <c r="H43" s="90"/>
    </row>
    <row r="44" spans="1:8" s="5" customFormat="1" ht="12" customHeight="1" x14ac:dyDescent="0.35">
      <c r="A44" s="85"/>
      <c r="B44" s="86" t="s">
        <v>307</v>
      </c>
      <c r="C44" s="86" t="s">
        <v>11</v>
      </c>
      <c r="D44" s="87"/>
      <c r="E44" s="88"/>
      <c r="F44" s="89"/>
      <c r="G44" s="86"/>
      <c r="H44" s="90"/>
    </row>
    <row r="45" spans="1:8" s="5" customFormat="1" ht="12" customHeight="1" x14ac:dyDescent="0.35">
      <c r="A45" s="85"/>
      <c r="B45" s="86" t="s">
        <v>300</v>
      </c>
      <c r="C45" s="86" t="s">
        <v>11</v>
      </c>
      <c r="D45" s="87"/>
      <c r="E45" s="88"/>
      <c r="F45" s="89"/>
      <c r="G45" s="86"/>
      <c r="H45" s="90"/>
    </row>
    <row r="46" spans="1:8" s="5" customFormat="1" ht="12" customHeight="1" x14ac:dyDescent="0.35">
      <c r="A46" s="127"/>
      <c r="B46" s="86" t="s">
        <v>350</v>
      </c>
      <c r="C46" s="86" t="s">
        <v>11</v>
      </c>
      <c r="D46" s="87"/>
      <c r="E46" s="88"/>
      <c r="F46" s="89"/>
      <c r="G46" s="86"/>
      <c r="H46" s="128"/>
    </row>
    <row r="47" spans="1:8" s="5" customFormat="1" ht="12" customHeight="1" x14ac:dyDescent="0.35">
      <c r="A47" s="127"/>
      <c r="B47" s="86" t="s">
        <v>385</v>
      </c>
      <c r="C47" s="86" t="s">
        <v>11</v>
      </c>
      <c r="D47" s="87"/>
      <c r="E47" s="88"/>
      <c r="F47" s="89"/>
      <c r="G47" s="86"/>
      <c r="H47" s="128"/>
    </row>
    <row r="48" spans="1:8" s="5" customFormat="1" ht="12" customHeight="1" x14ac:dyDescent="0.35">
      <c r="A48" s="127"/>
      <c r="B48" s="86" t="s">
        <v>411</v>
      </c>
      <c r="C48" s="86" t="s">
        <v>24</v>
      </c>
      <c r="D48" s="87"/>
      <c r="E48" s="88"/>
      <c r="F48" s="89"/>
      <c r="G48" s="86"/>
      <c r="H48" s="128"/>
    </row>
    <row r="49" spans="1:8" s="5" customFormat="1" ht="12" x14ac:dyDescent="0.35">
      <c r="A49" s="7" t="s">
        <v>85</v>
      </c>
      <c r="B49" s="7" t="s">
        <v>309</v>
      </c>
      <c r="C49" s="7" t="s">
        <v>11</v>
      </c>
      <c r="D49" s="65"/>
      <c r="E49" s="8"/>
      <c r="F49" s="84" t="s">
        <v>790</v>
      </c>
      <c r="G49" s="84"/>
      <c r="H49" s="84"/>
    </row>
    <row r="50" spans="1:8" s="5" customFormat="1" ht="12.5" customHeight="1" x14ac:dyDescent="0.35">
      <c r="A50" s="7"/>
      <c r="B50" s="7" t="s">
        <v>86</v>
      </c>
      <c r="C50" s="7" t="s">
        <v>11</v>
      </c>
      <c r="D50" s="65"/>
      <c r="E50" s="8"/>
      <c r="F50" s="84"/>
      <c r="G50" s="7"/>
      <c r="H50" s="7"/>
    </row>
    <row r="51" spans="1:8" s="5" customFormat="1" ht="12" x14ac:dyDescent="0.35">
      <c r="A51" s="7"/>
      <c r="B51" s="7" t="s">
        <v>267</v>
      </c>
      <c r="C51" s="7" t="s">
        <v>11</v>
      </c>
      <c r="D51" s="65"/>
      <c r="E51" s="8"/>
      <c r="F51" s="84"/>
      <c r="G51" s="7"/>
      <c r="H51" s="7"/>
    </row>
    <row r="52" spans="1:8" s="5" customFormat="1" ht="13" customHeight="1" x14ac:dyDescent="0.35">
      <c r="A52" s="7"/>
      <c r="B52" s="7" t="s">
        <v>347</v>
      </c>
      <c r="C52" s="7" t="s">
        <v>11</v>
      </c>
      <c r="D52" s="65"/>
      <c r="E52" s="8"/>
      <c r="F52" s="84"/>
      <c r="G52" s="7"/>
      <c r="H52" s="7"/>
    </row>
    <row r="53" spans="1:8" s="5" customFormat="1" ht="13" customHeight="1" x14ac:dyDescent="0.35">
      <c r="A53" s="7"/>
      <c r="B53" s="7" t="s">
        <v>481</v>
      </c>
      <c r="C53" s="7" t="s">
        <v>11</v>
      </c>
      <c r="D53" s="65"/>
      <c r="E53" s="8"/>
      <c r="F53" s="84"/>
      <c r="G53" s="7"/>
      <c r="H53" s="7"/>
    </row>
    <row r="54" spans="1:8" s="5" customFormat="1" ht="13" customHeight="1" x14ac:dyDescent="0.35">
      <c r="A54" s="7"/>
      <c r="B54" s="7" t="s">
        <v>482</v>
      </c>
      <c r="C54" s="7" t="s">
        <v>11</v>
      </c>
      <c r="D54" s="65"/>
      <c r="E54" s="8"/>
      <c r="F54" s="84"/>
      <c r="G54" s="7"/>
      <c r="H54" s="7"/>
    </row>
    <row r="55" spans="1:8" s="5" customFormat="1" ht="13" customHeight="1" x14ac:dyDescent="0.35">
      <c r="A55" s="7"/>
      <c r="B55" s="7" t="s">
        <v>483</v>
      </c>
      <c r="C55" s="7" t="s">
        <v>11</v>
      </c>
      <c r="D55" s="65"/>
      <c r="E55" s="8"/>
      <c r="F55" s="84"/>
      <c r="G55" s="7"/>
      <c r="H55" s="7"/>
    </row>
    <row r="56" spans="1:8" s="5" customFormat="1" ht="12" x14ac:dyDescent="0.35">
      <c r="A56" s="7"/>
      <c r="B56" s="7" t="s">
        <v>643</v>
      </c>
      <c r="C56" s="7" t="s">
        <v>11</v>
      </c>
      <c r="D56" s="65"/>
      <c r="E56" s="8"/>
      <c r="F56" s="84"/>
      <c r="G56" s="7"/>
      <c r="H56" s="7"/>
    </row>
    <row r="57" spans="1:8" s="5" customFormat="1" ht="12" x14ac:dyDescent="0.35">
      <c r="A57" s="7"/>
      <c r="B57" s="7" t="s">
        <v>746</v>
      </c>
      <c r="C57" s="7" t="s">
        <v>11</v>
      </c>
      <c r="D57" s="65"/>
      <c r="E57" s="8"/>
      <c r="F57" s="84"/>
      <c r="G57" s="7"/>
      <c r="H57" s="7"/>
    </row>
    <row r="58" spans="1:8" s="5" customFormat="1" ht="12" x14ac:dyDescent="0.35">
      <c r="A58" s="7"/>
      <c r="B58" s="7" t="s">
        <v>797</v>
      </c>
      <c r="C58" s="7" t="s">
        <v>11</v>
      </c>
      <c r="D58" s="65"/>
      <c r="E58" s="8"/>
      <c r="F58" s="84"/>
      <c r="G58" s="7"/>
      <c r="H58" s="7"/>
    </row>
    <row r="59" spans="1:8" s="5" customFormat="1" ht="12" x14ac:dyDescent="0.35">
      <c r="A59" s="7"/>
      <c r="B59" s="7" t="s">
        <v>799</v>
      </c>
      <c r="C59" s="7" t="s">
        <v>113</v>
      </c>
      <c r="D59" s="65" t="s">
        <v>817</v>
      </c>
      <c r="E59" s="8">
        <v>1192</v>
      </c>
      <c r="F59" s="84" t="s">
        <v>824</v>
      </c>
      <c r="G59" s="7"/>
      <c r="H59" s="7"/>
    </row>
    <row r="60" spans="1:8" s="5" customFormat="1" ht="12" x14ac:dyDescent="0.35">
      <c r="A60" s="7"/>
      <c r="B60" s="7" t="s">
        <v>818</v>
      </c>
      <c r="C60" s="7" t="s">
        <v>24</v>
      </c>
      <c r="D60" s="65"/>
      <c r="E60" s="8"/>
      <c r="F60" s="84" t="s">
        <v>825</v>
      </c>
      <c r="G60" s="7"/>
      <c r="H60" s="7"/>
    </row>
    <row r="61" spans="1:8" s="5" customFormat="1" ht="12" x14ac:dyDescent="0.35">
      <c r="A61" s="7"/>
      <c r="B61" s="7"/>
      <c r="C61" s="7"/>
      <c r="D61" s="65"/>
      <c r="E61" s="8"/>
      <c r="F61" s="84"/>
      <c r="G61" s="7"/>
      <c r="H61" s="7"/>
    </row>
    <row r="62" spans="1:8" s="5" customFormat="1" ht="12" x14ac:dyDescent="0.35">
      <c r="A62" s="7" t="s">
        <v>111</v>
      </c>
      <c r="B62" s="7" t="s">
        <v>713</v>
      </c>
      <c r="C62" s="7" t="s">
        <v>11</v>
      </c>
      <c r="D62" s="65"/>
      <c r="E62" s="8"/>
      <c r="F62" s="84"/>
      <c r="G62" s="84"/>
      <c r="H62" s="84"/>
    </row>
    <row r="63" spans="1:8" s="5" customFormat="1" ht="13" customHeight="1" x14ac:dyDescent="0.35">
      <c r="A63" s="7" t="s">
        <v>111</v>
      </c>
      <c r="B63" s="7" t="s">
        <v>768</v>
      </c>
      <c r="C63" s="7" t="s">
        <v>11</v>
      </c>
      <c r="D63" s="65"/>
      <c r="E63" s="8"/>
      <c r="F63" s="84"/>
      <c r="G63" s="84"/>
      <c r="H63" s="84"/>
    </row>
    <row r="64" spans="1:8" s="5" customFormat="1" ht="12" x14ac:dyDescent="0.35">
      <c r="A64" s="7" t="s">
        <v>111</v>
      </c>
      <c r="B64" s="7" t="s">
        <v>769</v>
      </c>
      <c r="C64" s="7" t="s">
        <v>11</v>
      </c>
      <c r="D64" s="65"/>
      <c r="E64" s="8"/>
      <c r="F64" s="84"/>
      <c r="G64" s="84"/>
      <c r="H64" s="84"/>
    </row>
    <row r="65" spans="1:8" s="5" customFormat="1" ht="12" x14ac:dyDescent="0.35">
      <c r="A65" s="7" t="s">
        <v>111</v>
      </c>
      <c r="B65" s="7" t="s">
        <v>789</v>
      </c>
      <c r="C65" s="7" t="s">
        <v>11</v>
      </c>
      <c r="D65" s="65"/>
      <c r="E65" s="8"/>
      <c r="F65" s="84"/>
      <c r="G65" s="84"/>
      <c r="H65" s="84"/>
    </row>
    <row r="66" spans="1:8" s="5" customFormat="1" ht="12" x14ac:dyDescent="0.35">
      <c r="A66" s="7" t="s">
        <v>111</v>
      </c>
      <c r="B66" s="7" t="s">
        <v>798</v>
      </c>
      <c r="C66" s="7" t="s">
        <v>11</v>
      </c>
      <c r="D66" s="65"/>
      <c r="E66" s="8"/>
      <c r="F66" s="84"/>
      <c r="G66" s="84"/>
      <c r="H66" s="84"/>
    </row>
    <row r="67" spans="1:8" s="5" customFormat="1" ht="24" x14ac:dyDescent="0.35">
      <c r="A67" s="7" t="s">
        <v>111</v>
      </c>
      <c r="B67" s="7" t="s">
        <v>800</v>
      </c>
      <c r="C67" s="7" t="s">
        <v>113</v>
      </c>
      <c r="D67" s="65">
        <v>46073</v>
      </c>
      <c r="E67" s="8">
        <v>928</v>
      </c>
      <c r="F67" s="84" t="s">
        <v>808</v>
      </c>
      <c r="G67" s="84"/>
      <c r="H67" s="84"/>
    </row>
    <row r="68" spans="1:8" s="5" customFormat="1" ht="12" x14ac:dyDescent="0.35">
      <c r="D68" s="191"/>
      <c r="E68" s="192"/>
      <c r="F68" s="193"/>
      <c r="G68" s="194"/>
      <c r="H68" s="195"/>
    </row>
    <row r="69" spans="1:8" s="5" customFormat="1" ht="12" x14ac:dyDescent="0.35">
      <c r="D69" s="191"/>
      <c r="E69" s="192"/>
      <c r="F69" s="193"/>
      <c r="G69" s="194"/>
      <c r="H69" s="195"/>
    </row>
    <row r="70" spans="1:8" s="5" customFormat="1" ht="12.5" thickBot="1" x14ac:dyDescent="0.4">
      <c r="D70" s="191"/>
      <c r="E70" s="192"/>
      <c r="F70" s="193"/>
      <c r="G70" s="194"/>
      <c r="H70" s="195"/>
    </row>
    <row r="71" spans="1:8" ht="15" thickBot="1" x14ac:dyDescent="0.4">
      <c r="E71" s="134" t="s">
        <v>0</v>
      </c>
      <c r="F71" s="126" t="s">
        <v>809</v>
      </c>
      <c r="G71" s="135" t="s">
        <v>345</v>
      </c>
    </row>
    <row r="72" spans="1:8" x14ac:dyDescent="0.35">
      <c r="E72" s="136" t="s">
        <v>346</v>
      </c>
      <c r="F72" s="40">
        <v>1192</v>
      </c>
      <c r="G72" s="188">
        <f t="shared" ref="G72:G74" ca="1" si="0">WORKDAY(TODAY(),F72/8,1)</f>
        <v>46293</v>
      </c>
    </row>
    <row r="73" spans="1:8" x14ac:dyDescent="0.35">
      <c r="E73" s="185" t="s">
        <v>55</v>
      </c>
      <c r="F73" s="44">
        <v>664</v>
      </c>
      <c r="G73" s="186">
        <f t="shared" ca="1" si="0"/>
        <v>46199</v>
      </c>
    </row>
    <row r="74" spans="1:8" ht="15" thickBot="1" x14ac:dyDescent="0.4">
      <c r="E74" s="187" t="s">
        <v>111</v>
      </c>
      <c r="F74" s="48">
        <v>928</v>
      </c>
      <c r="G74" s="189">
        <f t="shared" ca="1" si="0"/>
        <v>46246</v>
      </c>
    </row>
  </sheetData>
  <autoFilter ref="A1:I62" xr:uid="{CD714BF3-FEFE-466A-B133-5A6DA2D21FC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41302-0132-47E6-843F-93B2DE759B8B}">
  <dimension ref="A1:J50"/>
  <sheetViews>
    <sheetView showGridLines="0" workbookViewId="0">
      <pane xSplit="2" ySplit="1" topLeftCell="C32" activePane="bottomRight" state="frozen"/>
      <selection pane="topRight" activeCell="C1" sqref="C1"/>
      <selection pane="bottomLeft" activeCell="A2" sqref="A2"/>
      <selection pane="bottomRight" activeCell="A47" sqref="A47"/>
    </sheetView>
  </sheetViews>
  <sheetFormatPr defaultColWidth="8.7265625" defaultRowHeight="13" x14ac:dyDescent="0.35"/>
  <cols>
    <col min="1" max="1" width="19.453125" style="23" bestFit="1" customWidth="1"/>
    <col min="2" max="2" width="37.1796875" style="23" bestFit="1" customWidth="1"/>
    <col min="3" max="3" width="42.90625" style="23" bestFit="1" customWidth="1"/>
    <col min="4" max="4" width="15.54296875" style="23" customWidth="1"/>
    <col min="5" max="5" width="11.54296875" style="23" bestFit="1" customWidth="1"/>
    <col min="6" max="6" width="8.54296875" style="23" bestFit="1" customWidth="1"/>
    <col min="7" max="7" width="13.81640625" style="16" bestFit="1" customWidth="1"/>
    <col min="8" max="8" width="32.81640625" style="23" bestFit="1" customWidth="1"/>
    <col min="9" max="9" width="50.81640625" style="23" bestFit="1" customWidth="1"/>
    <col min="10" max="10" width="29.81640625" style="23" customWidth="1"/>
    <col min="11" max="16384" width="8.7265625" style="23"/>
  </cols>
  <sheetData>
    <row r="1" spans="1:10" s="16" customFormat="1" x14ac:dyDescent="0.35">
      <c r="A1" s="196" t="s">
        <v>0</v>
      </c>
      <c r="B1" s="197" t="s">
        <v>1</v>
      </c>
      <c r="C1" s="197" t="s">
        <v>317</v>
      </c>
      <c r="D1" s="197" t="s">
        <v>5</v>
      </c>
      <c r="E1" s="197" t="s">
        <v>2</v>
      </c>
      <c r="F1" s="197" t="s">
        <v>3</v>
      </c>
      <c r="G1" s="197" t="s">
        <v>6</v>
      </c>
      <c r="H1" s="197" t="s">
        <v>7</v>
      </c>
      <c r="I1" s="197" t="s">
        <v>45</v>
      </c>
      <c r="J1" s="198" t="s">
        <v>87</v>
      </c>
    </row>
    <row r="2" spans="1:10" x14ac:dyDescent="0.35">
      <c r="A2" s="24" t="s">
        <v>116</v>
      </c>
      <c r="B2" s="25" t="s">
        <v>115</v>
      </c>
      <c r="C2" s="25" t="s">
        <v>328</v>
      </c>
      <c r="D2" s="25" t="s">
        <v>285</v>
      </c>
      <c r="E2" s="25" t="s">
        <v>11</v>
      </c>
      <c r="F2" s="26"/>
      <c r="G2" s="27"/>
      <c r="H2" s="28"/>
      <c r="I2" s="35"/>
      <c r="J2" s="29"/>
    </row>
    <row r="3" spans="1:10" x14ac:dyDescent="0.35">
      <c r="A3" s="24" t="s">
        <v>116</v>
      </c>
      <c r="B3" s="25" t="s">
        <v>117</v>
      </c>
      <c r="C3" s="25" t="s">
        <v>328</v>
      </c>
      <c r="D3" s="25"/>
      <c r="E3" s="25" t="s">
        <v>11</v>
      </c>
      <c r="F3" s="26"/>
      <c r="G3" s="27"/>
      <c r="H3" s="28"/>
      <c r="I3" s="35"/>
      <c r="J3" s="29"/>
    </row>
    <row r="4" spans="1:10" x14ac:dyDescent="0.35">
      <c r="A4" s="24" t="s">
        <v>118</v>
      </c>
      <c r="B4" s="25" t="s">
        <v>119</v>
      </c>
      <c r="C4" s="25" t="s">
        <v>323</v>
      </c>
      <c r="D4" s="25"/>
      <c r="E4" s="25" t="s">
        <v>11</v>
      </c>
      <c r="F4" s="26"/>
      <c r="G4" s="27"/>
      <c r="H4" s="28"/>
      <c r="I4" s="35"/>
      <c r="J4" s="29"/>
    </row>
    <row r="5" spans="1:10" x14ac:dyDescent="0.35">
      <c r="A5" s="24" t="s">
        <v>120</v>
      </c>
      <c r="B5" s="25" t="s">
        <v>121</v>
      </c>
      <c r="C5" s="25" t="s">
        <v>336</v>
      </c>
      <c r="D5" s="25"/>
      <c r="E5" s="25" t="s">
        <v>11</v>
      </c>
      <c r="F5" s="26"/>
      <c r="G5" s="27"/>
      <c r="H5" s="28"/>
      <c r="I5" s="35"/>
      <c r="J5" s="29"/>
    </row>
    <row r="6" spans="1:10" x14ac:dyDescent="0.35">
      <c r="A6" s="24" t="s">
        <v>122</v>
      </c>
      <c r="B6" s="25" t="s">
        <v>123</v>
      </c>
      <c r="C6" s="25" t="s">
        <v>337</v>
      </c>
      <c r="D6" s="25"/>
      <c r="E6" s="25" t="s">
        <v>11</v>
      </c>
      <c r="F6" s="26"/>
      <c r="G6" s="27"/>
      <c r="H6" s="28"/>
      <c r="I6" s="35"/>
      <c r="J6" s="29"/>
    </row>
    <row r="7" spans="1:10" x14ac:dyDescent="0.35">
      <c r="A7" s="24" t="s">
        <v>122</v>
      </c>
      <c r="B7" s="25" t="s">
        <v>124</v>
      </c>
      <c r="C7" s="25" t="s">
        <v>328</v>
      </c>
      <c r="D7" s="25"/>
      <c r="E7" s="25" t="s">
        <v>11</v>
      </c>
      <c r="F7" s="26"/>
      <c r="G7" s="27"/>
      <c r="H7" s="28"/>
      <c r="I7" s="35"/>
      <c r="J7" s="29"/>
    </row>
    <row r="8" spans="1:10" x14ac:dyDescent="0.35">
      <c r="A8" s="24" t="s">
        <v>122</v>
      </c>
      <c r="B8" s="25" t="s">
        <v>277</v>
      </c>
      <c r="C8" s="25" t="s">
        <v>327</v>
      </c>
      <c r="D8" s="25"/>
      <c r="E8" s="25" t="s">
        <v>21</v>
      </c>
      <c r="F8" s="26">
        <v>45639</v>
      </c>
      <c r="G8" s="27"/>
      <c r="H8" s="28"/>
      <c r="I8" s="35"/>
      <c r="J8" s="29"/>
    </row>
    <row r="9" spans="1:10" x14ac:dyDescent="0.35">
      <c r="A9" s="24" t="s">
        <v>118</v>
      </c>
      <c r="B9" s="25" t="s">
        <v>278</v>
      </c>
      <c r="C9" s="25" t="s">
        <v>401</v>
      </c>
      <c r="D9" s="25"/>
      <c r="E9" s="25" t="s">
        <v>11</v>
      </c>
      <c r="F9" s="26"/>
      <c r="G9" s="27"/>
      <c r="H9" s="28"/>
      <c r="I9" s="33"/>
      <c r="J9" s="32"/>
    </row>
    <row r="10" spans="1:10" x14ac:dyDescent="0.35">
      <c r="A10" s="24" t="s">
        <v>120</v>
      </c>
      <c r="B10" s="25" t="s">
        <v>279</v>
      </c>
      <c r="C10" s="25" t="s">
        <v>320</v>
      </c>
      <c r="D10" s="25"/>
      <c r="E10" s="25" t="s">
        <v>11</v>
      </c>
      <c r="F10" s="26"/>
      <c r="G10" s="27"/>
      <c r="H10" s="28" t="s">
        <v>393</v>
      </c>
      <c r="I10" s="34"/>
      <c r="J10" s="29"/>
    </row>
    <row r="11" spans="1:10" x14ac:dyDescent="0.35">
      <c r="A11" s="24" t="s">
        <v>116</v>
      </c>
      <c r="B11" s="25" t="s">
        <v>326</v>
      </c>
      <c r="C11" s="25" t="s">
        <v>329</v>
      </c>
      <c r="D11" s="25"/>
      <c r="E11" s="25" t="s">
        <v>24</v>
      </c>
      <c r="F11" s="26"/>
      <c r="G11" s="27"/>
      <c r="H11" s="28" t="s">
        <v>588</v>
      </c>
      <c r="I11" s="34"/>
      <c r="J11" s="29"/>
    </row>
    <row r="12" spans="1:10" ht="26" x14ac:dyDescent="0.35">
      <c r="A12" s="24" t="s">
        <v>116</v>
      </c>
      <c r="B12" s="25" t="s">
        <v>280</v>
      </c>
      <c r="C12" s="25" t="s">
        <v>320</v>
      </c>
      <c r="D12" s="25"/>
      <c r="E12" s="25" t="s">
        <v>11</v>
      </c>
      <c r="F12" s="26"/>
      <c r="G12" s="27"/>
      <c r="H12" s="28" t="s">
        <v>807</v>
      </c>
      <c r="I12" s="28"/>
      <c r="J12" s="29"/>
    </row>
    <row r="13" spans="1:10" x14ac:dyDescent="0.35">
      <c r="A13" s="24" t="s">
        <v>122</v>
      </c>
      <c r="B13" s="25" t="s">
        <v>335</v>
      </c>
      <c r="C13" s="25" t="s">
        <v>328</v>
      </c>
      <c r="D13" s="25"/>
      <c r="E13" s="25" t="s">
        <v>11</v>
      </c>
      <c r="F13" s="26"/>
      <c r="G13" s="27"/>
      <c r="H13" s="28"/>
      <c r="I13" s="28"/>
      <c r="J13" s="29"/>
    </row>
    <row r="14" spans="1:10" x14ac:dyDescent="0.35">
      <c r="A14" s="24" t="s">
        <v>118</v>
      </c>
      <c r="B14" s="25" t="s">
        <v>281</v>
      </c>
      <c r="C14" s="25" t="s">
        <v>337</v>
      </c>
      <c r="D14" s="25"/>
      <c r="E14" s="25" t="s">
        <v>11</v>
      </c>
      <c r="F14" s="26"/>
      <c r="G14" s="27"/>
      <c r="H14" s="28"/>
      <c r="I14" s="28"/>
      <c r="J14" s="29"/>
    </row>
    <row r="15" spans="1:10" x14ac:dyDescent="0.35">
      <c r="A15" s="24" t="s">
        <v>116</v>
      </c>
      <c r="B15" s="25" t="s">
        <v>742</v>
      </c>
      <c r="C15" s="25" t="s">
        <v>328</v>
      </c>
      <c r="D15" s="25"/>
      <c r="E15" s="25" t="s">
        <v>11</v>
      </c>
      <c r="F15" s="26"/>
      <c r="G15" s="27"/>
      <c r="H15" s="28"/>
      <c r="I15" s="28"/>
      <c r="J15" s="29"/>
    </row>
    <row r="16" spans="1:10" x14ac:dyDescent="0.35">
      <c r="A16" s="24" t="s">
        <v>118</v>
      </c>
      <c r="B16" s="25" t="s">
        <v>282</v>
      </c>
      <c r="C16" s="25" t="s">
        <v>337</v>
      </c>
      <c r="D16" s="25"/>
      <c r="E16" s="25" t="s">
        <v>11</v>
      </c>
      <c r="F16" s="26"/>
      <c r="G16" s="27"/>
      <c r="H16" s="28"/>
      <c r="I16" s="28"/>
      <c r="J16" s="29"/>
    </row>
    <row r="17" spans="1:10" x14ac:dyDescent="0.35">
      <c r="A17" s="24" t="s">
        <v>118</v>
      </c>
      <c r="B17" s="25" t="s">
        <v>283</v>
      </c>
      <c r="C17" s="25" t="s">
        <v>328</v>
      </c>
      <c r="D17" s="25"/>
      <c r="E17" s="25" t="s">
        <v>11</v>
      </c>
      <c r="F17" s="26"/>
      <c r="G17" s="27"/>
      <c r="H17" s="28"/>
      <c r="I17" s="28"/>
      <c r="J17" s="29"/>
    </row>
    <row r="18" spans="1:10" x14ac:dyDescent="0.35">
      <c r="A18" s="24" t="s">
        <v>118</v>
      </c>
      <c r="B18" s="25" t="s">
        <v>325</v>
      </c>
      <c r="C18" s="25" t="s">
        <v>328</v>
      </c>
      <c r="D18" s="25"/>
      <c r="E18" s="25" t="s">
        <v>11</v>
      </c>
      <c r="F18" s="26"/>
      <c r="G18" s="27"/>
      <c r="H18" s="28"/>
      <c r="I18" s="28"/>
      <c r="J18" s="29"/>
    </row>
    <row r="19" spans="1:10" ht="15.65" customHeight="1" x14ac:dyDescent="0.35">
      <c r="A19" s="24" t="s">
        <v>122</v>
      </c>
      <c r="B19" s="25" t="s">
        <v>284</v>
      </c>
      <c r="C19" s="25" t="s">
        <v>328</v>
      </c>
      <c r="D19" s="25"/>
      <c r="E19" s="25" t="s">
        <v>11</v>
      </c>
      <c r="F19" s="25"/>
      <c r="G19" s="27"/>
      <c r="H19" s="25"/>
      <c r="I19" s="25"/>
      <c r="J19" s="29"/>
    </row>
    <row r="20" spans="1:10" ht="15.65" customHeight="1" x14ac:dyDescent="0.35">
      <c r="A20" s="24" t="s">
        <v>118</v>
      </c>
      <c r="B20" s="25" t="s">
        <v>324</v>
      </c>
      <c r="C20" s="25" t="s">
        <v>328</v>
      </c>
      <c r="D20" s="25"/>
      <c r="E20" s="25" t="s">
        <v>11</v>
      </c>
      <c r="F20" s="25"/>
      <c r="G20" s="27"/>
      <c r="H20" s="25"/>
      <c r="I20" s="25"/>
      <c r="J20" s="29"/>
    </row>
    <row r="21" spans="1:10" ht="15.65" customHeight="1" x14ac:dyDescent="0.35">
      <c r="A21" s="24" t="s">
        <v>331</v>
      </c>
      <c r="B21" s="25" t="s">
        <v>321</v>
      </c>
      <c r="C21" s="25"/>
      <c r="D21" s="25"/>
      <c r="E21" s="25" t="s">
        <v>248</v>
      </c>
      <c r="F21" s="26"/>
      <c r="G21" s="27"/>
      <c r="H21" s="25" t="s">
        <v>396</v>
      </c>
      <c r="I21" s="25"/>
      <c r="J21" s="29"/>
    </row>
    <row r="22" spans="1:10" ht="15.65" customHeight="1" x14ac:dyDescent="0.35">
      <c r="A22" s="24" t="s">
        <v>114</v>
      </c>
      <c r="B22" s="25" t="s">
        <v>322</v>
      </c>
      <c r="C22" s="25"/>
      <c r="D22" s="25"/>
      <c r="E22" s="25" t="s">
        <v>11</v>
      </c>
      <c r="F22" s="25"/>
      <c r="G22" s="27"/>
      <c r="H22" s="25"/>
      <c r="I22" s="25"/>
      <c r="J22" s="29"/>
    </row>
    <row r="23" spans="1:10" ht="15.65" customHeight="1" x14ac:dyDescent="0.35">
      <c r="A23" s="24" t="s">
        <v>331</v>
      </c>
      <c r="B23" s="25" t="s">
        <v>330</v>
      </c>
      <c r="C23" s="25" t="s">
        <v>332</v>
      </c>
      <c r="D23" s="25"/>
      <c r="E23" s="25" t="s">
        <v>333</v>
      </c>
      <c r="F23" s="25"/>
      <c r="G23" s="27"/>
      <c r="H23" s="25" t="s">
        <v>334</v>
      </c>
      <c r="I23" s="25"/>
      <c r="J23" s="29"/>
    </row>
    <row r="24" spans="1:10" ht="15.65" customHeight="1" x14ac:dyDescent="0.35">
      <c r="A24" s="24" t="s">
        <v>118</v>
      </c>
      <c r="B24" s="25" t="s">
        <v>394</v>
      </c>
      <c r="C24" s="25" t="s">
        <v>395</v>
      </c>
      <c r="D24" s="25"/>
      <c r="E24" s="25" t="s">
        <v>11</v>
      </c>
      <c r="F24" s="25"/>
      <c r="G24" s="27"/>
      <c r="H24" s="25"/>
      <c r="I24" s="25"/>
      <c r="J24" s="29"/>
    </row>
    <row r="25" spans="1:10" ht="15.65" customHeight="1" x14ac:dyDescent="0.35">
      <c r="A25" s="24" t="s">
        <v>114</v>
      </c>
      <c r="B25" s="25" t="s">
        <v>397</v>
      </c>
      <c r="C25" s="25"/>
      <c r="D25" s="25"/>
      <c r="E25" s="25" t="s">
        <v>11</v>
      </c>
      <c r="F25" s="25"/>
      <c r="G25" s="27"/>
      <c r="H25" s="25"/>
      <c r="I25" s="25"/>
      <c r="J25" s="29"/>
    </row>
    <row r="26" spans="1:10" ht="15.65" customHeight="1" x14ac:dyDescent="0.35">
      <c r="A26" s="24" t="s">
        <v>120</v>
      </c>
      <c r="B26" s="25" t="s">
        <v>398</v>
      </c>
      <c r="C26" s="25"/>
      <c r="D26" s="25"/>
      <c r="E26" s="25" t="s">
        <v>61</v>
      </c>
      <c r="F26" s="26"/>
      <c r="G26" s="27">
        <v>40</v>
      </c>
      <c r="H26" s="25" t="s">
        <v>829</v>
      </c>
      <c r="I26" s="25"/>
      <c r="J26" s="29"/>
    </row>
    <row r="27" spans="1:10" ht="15.65" customHeight="1" x14ac:dyDescent="0.35">
      <c r="A27" s="24" t="s">
        <v>120</v>
      </c>
      <c r="B27" s="25" t="s">
        <v>399</v>
      </c>
      <c r="C27" s="25" t="s">
        <v>402</v>
      </c>
      <c r="D27" s="25"/>
      <c r="E27" s="25" t="s">
        <v>11</v>
      </c>
      <c r="F27" s="25"/>
      <c r="G27" s="27"/>
      <c r="H27" s="25" t="s">
        <v>700</v>
      </c>
      <c r="I27" s="25"/>
      <c r="J27" s="29"/>
    </row>
    <row r="28" spans="1:10" ht="15.65" customHeight="1" x14ac:dyDescent="0.35">
      <c r="A28" s="24" t="s">
        <v>118</v>
      </c>
      <c r="B28" s="25" t="s">
        <v>400</v>
      </c>
      <c r="C28" s="25" t="s">
        <v>401</v>
      </c>
      <c r="D28" s="25"/>
      <c r="E28" s="25" t="s">
        <v>11</v>
      </c>
      <c r="F28" s="25"/>
      <c r="G28" s="27"/>
      <c r="H28" s="25"/>
      <c r="I28" s="25"/>
      <c r="J28" s="29"/>
    </row>
    <row r="29" spans="1:10" x14ac:dyDescent="0.35">
      <c r="A29" s="24" t="s">
        <v>116</v>
      </c>
      <c r="B29" s="25" t="s">
        <v>420</v>
      </c>
      <c r="C29" s="25"/>
      <c r="D29" s="25"/>
      <c r="E29" s="25" t="s">
        <v>11</v>
      </c>
      <c r="F29" s="26"/>
      <c r="G29" s="27"/>
      <c r="H29" s="28"/>
      <c r="I29" s="34"/>
      <c r="J29" s="29"/>
    </row>
    <row r="30" spans="1:10" ht="15.65" customHeight="1" x14ac:dyDescent="0.35">
      <c r="A30" s="24" t="s">
        <v>118</v>
      </c>
      <c r="B30" s="25" t="s">
        <v>595</v>
      </c>
      <c r="C30" s="25" t="s">
        <v>803</v>
      </c>
      <c r="D30" s="25"/>
      <c r="E30" s="25" t="s">
        <v>21</v>
      </c>
      <c r="F30" s="26">
        <v>45708</v>
      </c>
      <c r="G30" s="27"/>
      <c r="H30" s="25" t="s">
        <v>805</v>
      </c>
      <c r="I30" s="25"/>
      <c r="J30" s="29"/>
    </row>
    <row r="31" spans="1:10" ht="15.65" customHeight="1" x14ac:dyDescent="0.35">
      <c r="A31" s="24" t="s">
        <v>114</v>
      </c>
      <c r="B31" s="25" t="s">
        <v>596</v>
      </c>
      <c r="C31" s="25"/>
      <c r="D31" s="25"/>
      <c r="E31" s="25" t="s">
        <v>24</v>
      </c>
      <c r="F31" s="25"/>
      <c r="G31" s="27"/>
      <c r="H31" s="25" t="s">
        <v>832</v>
      </c>
      <c r="I31" s="25"/>
      <c r="J31" s="29"/>
    </row>
    <row r="32" spans="1:10" ht="15.65" customHeight="1" x14ac:dyDescent="0.35">
      <c r="A32" s="24" t="s">
        <v>114</v>
      </c>
      <c r="B32" s="25" t="s">
        <v>597</v>
      </c>
      <c r="C32" s="25"/>
      <c r="D32" s="25"/>
      <c r="E32" s="25" t="s">
        <v>24</v>
      </c>
      <c r="F32" s="25"/>
      <c r="G32" s="27"/>
      <c r="H32" s="25" t="s">
        <v>679</v>
      </c>
      <c r="I32" s="25"/>
      <c r="J32" s="29"/>
    </row>
    <row r="33" spans="1:10" x14ac:dyDescent="0.35">
      <c r="A33" s="24" t="s">
        <v>118</v>
      </c>
      <c r="B33" s="25" t="s">
        <v>587</v>
      </c>
      <c r="C33" s="25"/>
      <c r="D33" s="25"/>
      <c r="E33" s="25" t="s">
        <v>333</v>
      </c>
      <c r="F33" s="25"/>
      <c r="G33" s="27"/>
      <c r="H33" s="25" t="s">
        <v>795</v>
      </c>
      <c r="I33" s="25"/>
      <c r="J33" s="29"/>
    </row>
    <row r="34" spans="1:10" x14ac:dyDescent="0.35">
      <c r="A34" s="24" t="s">
        <v>331</v>
      </c>
      <c r="B34" s="25" t="s">
        <v>614</v>
      </c>
      <c r="C34" s="25"/>
      <c r="D34" s="25"/>
      <c r="E34" s="25" t="s">
        <v>24</v>
      </c>
      <c r="F34" s="25"/>
      <c r="G34" s="27"/>
      <c r="H34" s="25" t="s">
        <v>642</v>
      </c>
      <c r="I34" s="25"/>
      <c r="J34" s="29"/>
    </row>
    <row r="35" spans="1:10" x14ac:dyDescent="0.35">
      <c r="A35" s="24" t="s">
        <v>120</v>
      </c>
      <c r="B35" s="25" t="s">
        <v>677</v>
      </c>
      <c r="C35" s="25"/>
      <c r="D35" s="25"/>
      <c r="E35" s="25" t="s">
        <v>21</v>
      </c>
      <c r="F35" s="25"/>
      <c r="G35" s="27"/>
      <c r="H35" s="25" t="s">
        <v>830</v>
      </c>
      <c r="I35" s="25"/>
      <c r="J35" s="29"/>
    </row>
    <row r="36" spans="1:10" x14ac:dyDescent="0.35">
      <c r="A36" s="24" t="s">
        <v>331</v>
      </c>
      <c r="B36" s="25" t="s">
        <v>641</v>
      </c>
      <c r="C36" s="25"/>
      <c r="D36" s="25"/>
      <c r="E36" s="25" t="s">
        <v>21</v>
      </c>
      <c r="F36" s="25"/>
      <c r="G36" s="27"/>
      <c r="H36" s="25" t="s">
        <v>678</v>
      </c>
      <c r="I36" s="25"/>
      <c r="J36" s="29"/>
    </row>
    <row r="37" spans="1:10" x14ac:dyDescent="0.35">
      <c r="A37" s="24" t="s">
        <v>766</v>
      </c>
      <c r="B37" s="25" t="s">
        <v>701</v>
      </c>
      <c r="C37" s="25"/>
      <c r="D37" s="25"/>
      <c r="E37" s="25" t="s">
        <v>21</v>
      </c>
      <c r="F37" s="26"/>
      <c r="G37" s="27"/>
      <c r="H37" s="25" t="s">
        <v>842</v>
      </c>
      <c r="I37" s="25"/>
      <c r="J37" s="29"/>
    </row>
    <row r="38" spans="1:10" ht="15.65" customHeight="1" x14ac:dyDescent="0.35">
      <c r="A38" s="24" t="s">
        <v>118</v>
      </c>
      <c r="B38" s="25" t="s">
        <v>702</v>
      </c>
      <c r="C38" s="25" t="s">
        <v>298</v>
      </c>
      <c r="D38" s="25"/>
      <c r="E38" s="25" t="s">
        <v>11</v>
      </c>
      <c r="F38" s="26"/>
      <c r="G38" s="27"/>
      <c r="H38" s="25" t="s">
        <v>806</v>
      </c>
      <c r="I38" s="25"/>
      <c r="J38" s="29"/>
    </row>
    <row r="39" spans="1:10" x14ac:dyDescent="0.35">
      <c r="A39" s="24" t="s">
        <v>116</v>
      </c>
      <c r="B39" s="25" t="s">
        <v>743</v>
      </c>
      <c r="C39" s="25"/>
      <c r="D39" s="25"/>
      <c r="E39" s="25" t="s">
        <v>21</v>
      </c>
      <c r="F39" s="26"/>
      <c r="G39" s="27"/>
      <c r="H39" s="25" t="s">
        <v>839</v>
      </c>
      <c r="I39" s="25"/>
      <c r="J39" s="29"/>
    </row>
    <row r="40" spans="1:10" x14ac:dyDescent="0.35">
      <c r="A40" s="24" t="s">
        <v>114</v>
      </c>
      <c r="B40" s="25" t="s">
        <v>744</v>
      </c>
      <c r="C40" s="25"/>
      <c r="D40" s="25"/>
      <c r="E40" s="25" t="s">
        <v>24</v>
      </c>
      <c r="F40" s="26"/>
      <c r="G40" s="27"/>
      <c r="H40" s="25" t="s">
        <v>832</v>
      </c>
      <c r="I40" s="25"/>
      <c r="J40" s="29"/>
    </row>
    <row r="41" spans="1:10" x14ac:dyDescent="0.35">
      <c r="A41" s="24" t="s">
        <v>114</v>
      </c>
      <c r="B41" s="25" t="s">
        <v>745</v>
      </c>
      <c r="C41" s="25"/>
      <c r="D41" s="25"/>
      <c r="E41" s="25" t="s">
        <v>24</v>
      </c>
      <c r="F41" s="26"/>
      <c r="G41" s="27">
        <v>201</v>
      </c>
      <c r="H41" s="25" t="s">
        <v>833</v>
      </c>
      <c r="I41" s="25"/>
      <c r="J41" s="29"/>
    </row>
    <row r="42" spans="1:10" x14ac:dyDescent="0.35">
      <c r="A42" s="24" t="s">
        <v>120</v>
      </c>
      <c r="B42" s="25" t="s">
        <v>751</v>
      </c>
      <c r="C42" s="25"/>
      <c r="D42" s="25"/>
      <c r="E42" s="25" t="s">
        <v>11</v>
      </c>
      <c r="F42" s="26"/>
      <c r="G42" s="27"/>
      <c r="H42" s="25" t="s">
        <v>826</v>
      </c>
      <c r="I42" s="25"/>
      <c r="J42" s="29"/>
    </row>
    <row r="43" spans="1:10" x14ac:dyDescent="0.35">
      <c r="A43" s="24" t="s">
        <v>114</v>
      </c>
      <c r="B43" s="25" t="s">
        <v>765</v>
      </c>
      <c r="C43" s="25"/>
      <c r="D43" s="25"/>
      <c r="E43" s="25" t="s">
        <v>24</v>
      </c>
      <c r="F43" s="26"/>
      <c r="G43" s="27"/>
      <c r="H43" s="25" t="s">
        <v>834</v>
      </c>
      <c r="I43" s="25"/>
      <c r="J43" s="29"/>
    </row>
    <row r="44" spans="1:10" x14ac:dyDescent="0.35">
      <c r="A44" s="24" t="s">
        <v>766</v>
      </c>
      <c r="B44" s="25" t="s">
        <v>796</v>
      </c>
      <c r="C44" s="25"/>
      <c r="D44" s="25"/>
      <c r="E44" s="25" t="s">
        <v>11</v>
      </c>
      <c r="F44" s="26"/>
      <c r="G44" s="27"/>
      <c r="H44" s="25" t="s">
        <v>841</v>
      </c>
      <c r="I44" s="25"/>
      <c r="J44" s="29"/>
    </row>
    <row r="45" spans="1:10" ht="26" x14ac:dyDescent="0.35">
      <c r="A45" s="24" t="s">
        <v>116</v>
      </c>
      <c r="B45" s="25" t="s">
        <v>802</v>
      </c>
      <c r="C45" s="25"/>
      <c r="D45" s="25"/>
      <c r="E45" s="25" t="s">
        <v>21</v>
      </c>
      <c r="F45" s="26">
        <v>46104</v>
      </c>
      <c r="G45" s="27"/>
      <c r="H45" s="28" t="s">
        <v>831</v>
      </c>
      <c r="I45" s="34"/>
      <c r="J45" s="29"/>
    </row>
    <row r="46" spans="1:10" x14ac:dyDescent="0.35">
      <c r="A46" s="24" t="s">
        <v>114</v>
      </c>
      <c r="B46" s="25" t="s">
        <v>827</v>
      </c>
      <c r="C46" s="25"/>
      <c r="D46" s="25"/>
      <c r="E46" s="25" t="s">
        <v>24</v>
      </c>
      <c r="F46" s="26"/>
      <c r="G46" s="27"/>
      <c r="H46" s="25" t="s">
        <v>828</v>
      </c>
      <c r="I46" s="25"/>
      <c r="J46" s="29"/>
    </row>
    <row r="47" spans="1:10" x14ac:dyDescent="0.35">
      <c r="A47" s="24" t="s">
        <v>114</v>
      </c>
      <c r="B47" s="25" t="s">
        <v>835</v>
      </c>
      <c r="C47" s="25"/>
      <c r="D47" s="25"/>
      <c r="E47" s="25" t="s">
        <v>24</v>
      </c>
      <c r="F47" s="25"/>
      <c r="G47" s="27"/>
      <c r="H47" s="25" t="s">
        <v>836</v>
      </c>
      <c r="I47" s="25"/>
      <c r="J47" s="29"/>
    </row>
    <row r="48" spans="1:10" x14ac:dyDescent="0.35">
      <c r="A48" s="24" t="s">
        <v>114</v>
      </c>
      <c r="B48" s="25" t="s">
        <v>837</v>
      </c>
      <c r="C48" s="25"/>
      <c r="D48" s="25"/>
      <c r="E48" s="25" t="s">
        <v>24</v>
      </c>
      <c r="F48" s="26"/>
      <c r="G48" s="27"/>
      <c r="H48" s="25" t="s">
        <v>832</v>
      </c>
      <c r="I48" s="25"/>
      <c r="J48" s="29"/>
    </row>
    <row r="49" spans="1:10" x14ac:dyDescent="0.35">
      <c r="A49" s="24" t="s">
        <v>114</v>
      </c>
      <c r="B49" s="25" t="s">
        <v>838</v>
      </c>
      <c r="C49" s="25"/>
      <c r="D49" s="25"/>
      <c r="E49" s="25" t="s">
        <v>24</v>
      </c>
      <c r="F49" s="25"/>
      <c r="G49" s="27"/>
      <c r="H49" s="25" t="s">
        <v>832</v>
      </c>
      <c r="I49" s="25"/>
      <c r="J49" s="29"/>
    </row>
    <row r="50" spans="1:10" ht="13.5" thickBot="1" x14ac:dyDescent="0.4">
      <c r="A50" s="31" t="s">
        <v>114</v>
      </c>
      <c r="B50" s="36" t="s">
        <v>840</v>
      </c>
      <c r="C50" s="36"/>
      <c r="D50" s="36"/>
      <c r="E50" s="36" t="s">
        <v>24</v>
      </c>
      <c r="F50" s="36"/>
      <c r="G50" s="37"/>
      <c r="H50" s="36" t="s">
        <v>839</v>
      </c>
      <c r="I50" s="36"/>
      <c r="J50" s="3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2161E-833F-4002-8C11-48904880318A}">
  <dimension ref="A1:H30"/>
  <sheetViews>
    <sheetView showGridLines="0" topLeftCell="A8" workbookViewId="0">
      <selection activeCell="B11" sqref="B11"/>
    </sheetView>
  </sheetViews>
  <sheetFormatPr defaultColWidth="8.7265625" defaultRowHeight="14.5" x14ac:dyDescent="0.35"/>
  <cols>
    <col min="1" max="1" width="14" style="39" bestFit="1" customWidth="1"/>
    <col min="2" max="2" width="41.54296875" style="39" bestFit="1" customWidth="1"/>
    <col min="3" max="3" width="11.54296875" style="39" bestFit="1" customWidth="1"/>
    <col min="4" max="4" width="15.1796875" style="1" bestFit="1" customWidth="1"/>
    <col min="5" max="5" width="22.1796875" style="1" bestFit="1" customWidth="1"/>
    <col min="6" max="6" width="32.81640625" style="39" bestFit="1" customWidth="1"/>
    <col min="7" max="7" width="19.453125" style="39" bestFit="1" customWidth="1"/>
    <col min="8" max="8" width="18"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172.5" x14ac:dyDescent="0.35">
      <c r="A2" s="148" t="s">
        <v>456</v>
      </c>
      <c r="B2" s="148" t="s">
        <v>462</v>
      </c>
      <c r="C2" s="180" t="s">
        <v>211</v>
      </c>
      <c r="D2" s="149"/>
      <c r="E2" s="148"/>
      <c r="F2" s="151" t="s">
        <v>645</v>
      </c>
      <c r="G2" s="151"/>
      <c r="H2" s="151"/>
    </row>
    <row r="3" spans="1:8" s="5" customFormat="1" ht="138" x14ac:dyDescent="0.35">
      <c r="A3" s="148" t="s">
        <v>456</v>
      </c>
      <c r="B3" s="148" t="s">
        <v>476</v>
      </c>
      <c r="C3" s="180" t="s">
        <v>211</v>
      </c>
      <c r="D3" s="149"/>
      <c r="E3" s="148"/>
      <c r="F3" s="151" t="s">
        <v>664</v>
      </c>
      <c r="G3" s="151"/>
      <c r="H3" s="151"/>
    </row>
    <row r="4" spans="1:8" s="5" customFormat="1" ht="103.5" x14ac:dyDescent="0.35">
      <c r="A4" s="148" t="s">
        <v>456</v>
      </c>
      <c r="B4" s="148" t="s">
        <v>623</v>
      </c>
      <c r="C4" s="148" t="s">
        <v>61</v>
      </c>
      <c r="D4" s="149">
        <v>45898</v>
      </c>
      <c r="E4" s="148">
        <v>89</v>
      </c>
      <c r="F4" s="151" t="s">
        <v>665</v>
      </c>
      <c r="G4" s="151"/>
      <c r="H4" s="151"/>
    </row>
    <row r="5" spans="1:8" s="5" customFormat="1" ht="184" x14ac:dyDescent="0.35">
      <c r="A5" s="148" t="s">
        <v>457</v>
      </c>
      <c r="B5" s="148" t="s">
        <v>470</v>
      </c>
      <c r="C5" s="180" t="s">
        <v>211</v>
      </c>
      <c r="D5" s="149">
        <v>45886</v>
      </c>
      <c r="E5" s="148">
        <v>49</v>
      </c>
      <c r="F5" s="151" t="s">
        <v>663</v>
      </c>
      <c r="G5" s="151"/>
      <c r="H5" s="151"/>
    </row>
    <row r="6" spans="1:8" s="5" customFormat="1" ht="103.5" x14ac:dyDescent="0.35">
      <c r="A6" s="148" t="s">
        <v>457</v>
      </c>
      <c r="B6" s="148" t="s">
        <v>461</v>
      </c>
      <c r="C6" s="148" t="s">
        <v>61</v>
      </c>
      <c r="D6" s="149">
        <v>45898</v>
      </c>
      <c r="E6" s="148"/>
      <c r="F6" s="151" t="s">
        <v>666</v>
      </c>
      <c r="G6" s="151"/>
      <c r="H6" s="151"/>
    </row>
    <row r="7" spans="1:8" s="5" customFormat="1" ht="126.5" x14ac:dyDescent="0.35">
      <c r="A7" s="148" t="s">
        <v>458</v>
      </c>
      <c r="B7" s="148" t="s">
        <v>459</v>
      </c>
      <c r="C7" s="180" t="s">
        <v>211</v>
      </c>
      <c r="D7" s="149">
        <v>45870</v>
      </c>
      <c r="E7" s="148">
        <v>68</v>
      </c>
      <c r="F7" s="151" t="s">
        <v>646</v>
      </c>
      <c r="G7" s="151"/>
      <c r="H7" s="151"/>
    </row>
    <row r="8" spans="1:8" s="5" customFormat="1" ht="126.5" x14ac:dyDescent="0.35">
      <c r="A8" s="148" t="s">
        <v>458</v>
      </c>
      <c r="B8" s="148" t="s">
        <v>624</v>
      </c>
      <c r="C8" s="148" t="s">
        <v>113</v>
      </c>
      <c r="D8" s="149">
        <v>45912</v>
      </c>
      <c r="E8" s="148">
        <v>220</v>
      </c>
      <c r="F8" s="151" t="s">
        <v>667</v>
      </c>
      <c r="G8" s="151"/>
      <c r="H8" s="151"/>
    </row>
    <row r="9" spans="1:8" s="5" customFormat="1" ht="69" x14ac:dyDescent="0.35">
      <c r="A9" s="148" t="s">
        <v>458</v>
      </c>
      <c r="B9" s="148" t="s">
        <v>625</v>
      </c>
      <c r="C9" s="148" t="s">
        <v>113</v>
      </c>
      <c r="D9" s="149">
        <v>45874</v>
      </c>
      <c r="E9" s="148"/>
      <c r="F9" s="151" t="s">
        <v>668</v>
      </c>
      <c r="G9" s="151" t="s">
        <v>669</v>
      </c>
      <c r="H9" s="151" t="s">
        <v>670</v>
      </c>
    </row>
    <row r="10" spans="1:8" s="5" customFormat="1" ht="12" x14ac:dyDescent="0.35">
      <c r="A10" s="148"/>
      <c r="B10" s="148"/>
      <c r="C10" s="148"/>
      <c r="D10" s="149"/>
      <c r="E10" s="148"/>
      <c r="F10" s="148"/>
      <c r="G10" s="151"/>
      <c r="H10" s="151"/>
    </row>
    <row r="11" spans="1:8" s="5" customFormat="1" ht="69" x14ac:dyDescent="0.35">
      <c r="A11" s="148" t="s">
        <v>460</v>
      </c>
      <c r="B11" s="148" t="s">
        <v>461</v>
      </c>
      <c r="C11" s="148" t="s">
        <v>292</v>
      </c>
      <c r="D11" s="149"/>
      <c r="E11" s="148">
        <v>53</v>
      </c>
      <c r="F11" s="151" t="s">
        <v>600</v>
      </c>
      <c r="G11" s="151"/>
      <c r="H11" s="151"/>
    </row>
    <row r="12" spans="1:8" s="5" customFormat="1" ht="46" x14ac:dyDescent="0.35">
      <c r="A12" s="148"/>
      <c r="B12" s="148" t="s">
        <v>463</v>
      </c>
      <c r="C12" s="148" t="s">
        <v>292</v>
      </c>
      <c r="D12" s="149"/>
      <c r="E12" s="148"/>
      <c r="F12" s="151" t="s">
        <v>601</v>
      </c>
      <c r="G12" s="151"/>
      <c r="H12" s="151"/>
    </row>
    <row r="13" spans="1:8" s="5" customFormat="1" ht="23" x14ac:dyDescent="0.35">
      <c r="A13" s="148"/>
      <c r="B13" s="148" t="s">
        <v>462</v>
      </c>
      <c r="C13" s="148"/>
      <c r="D13" s="149"/>
      <c r="E13" s="148"/>
      <c r="F13" s="151" t="s">
        <v>602</v>
      </c>
      <c r="G13" s="151"/>
      <c r="H13" s="151"/>
    </row>
    <row r="14" spans="1:8" s="5" customFormat="1" ht="46" x14ac:dyDescent="0.35">
      <c r="A14" s="148"/>
      <c r="B14" s="148" t="s">
        <v>593</v>
      </c>
      <c r="C14" s="148"/>
      <c r="D14" s="149"/>
      <c r="E14" s="148"/>
      <c r="F14" s="151" t="s">
        <v>634</v>
      </c>
      <c r="G14" s="151"/>
      <c r="H14" s="151"/>
    </row>
    <row r="15" spans="1:8" s="5" customFormat="1" ht="12" x14ac:dyDescent="0.35">
      <c r="A15" s="148"/>
      <c r="B15" s="148"/>
      <c r="C15" s="148"/>
      <c r="D15" s="149"/>
      <c r="E15" s="148"/>
      <c r="F15" s="148"/>
      <c r="G15" s="151"/>
      <c r="H15" s="151"/>
    </row>
    <row r="16" spans="1:8" s="5" customFormat="1" ht="12" x14ac:dyDescent="0.35">
      <c r="A16" s="148"/>
      <c r="B16" s="148"/>
      <c r="C16" s="148"/>
      <c r="D16" s="149"/>
      <c r="E16" s="148"/>
      <c r="F16" s="148"/>
      <c r="G16" s="148"/>
      <c r="H16" s="148"/>
    </row>
    <row r="28" spans="4:4" x14ac:dyDescent="0.35">
      <c r="D28" s="184"/>
    </row>
    <row r="29" spans="4:4" x14ac:dyDescent="0.35">
      <c r="D29" s="184"/>
    </row>
    <row r="30" spans="4:4" x14ac:dyDescent="0.35">
      <c r="D30" s="184"/>
    </row>
  </sheetData>
  <autoFilter ref="A1:I16" xr:uid="{CD714BF3-FEFE-466A-B133-5A6DA2D21FC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BC42-9090-42A9-A1A7-09505EF62446}">
  <dimension ref="A1:H24"/>
  <sheetViews>
    <sheetView showGridLines="0" topLeftCell="A3" workbookViewId="0">
      <selection activeCell="D11" sqref="D11"/>
    </sheetView>
  </sheetViews>
  <sheetFormatPr defaultColWidth="8.7265625" defaultRowHeight="14.5" x14ac:dyDescent="0.35"/>
  <cols>
    <col min="1" max="1" width="14" style="39" bestFit="1" customWidth="1"/>
    <col min="2" max="2" width="41.54296875" style="39" bestFit="1" customWidth="1"/>
    <col min="3" max="3" width="11.54296875" style="39" bestFit="1" customWidth="1"/>
    <col min="4" max="4" width="12.1796875" style="1" bestFit="1" customWidth="1"/>
    <col min="5" max="5" width="22.1796875" style="1" bestFit="1" customWidth="1"/>
    <col min="6" max="6" width="32.81640625" style="39" bestFit="1" customWidth="1"/>
    <col min="7" max="7" width="19.453125" style="39" bestFit="1" customWidth="1"/>
    <col min="8" max="8" width="18"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126.5" x14ac:dyDescent="0.35">
      <c r="A2" s="148" t="s">
        <v>635</v>
      </c>
      <c r="B2" s="148" t="s">
        <v>636</v>
      </c>
      <c r="C2" s="148" t="s">
        <v>211</v>
      </c>
      <c r="D2" s="149">
        <v>45898</v>
      </c>
      <c r="E2" s="154"/>
      <c r="F2" s="151" t="s">
        <v>684</v>
      </c>
      <c r="G2" s="151"/>
      <c r="H2" s="151"/>
    </row>
    <row r="3" spans="1:8" s="5" customFormat="1" ht="103.5" x14ac:dyDescent="0.35">
      <c r="A3" s="148" t="s">
        <v>269</v>
      </c>
      <c r="B3" s="148" t="s">
        <v>637</v>
      </c>
      <c r="C3" s="148" t="s">
        <v>248</v>
      </c>
      <c r="D3" s="149">
        <v>45898</v>
      </c>
      <c r="E3" s="154"/>
      <c r="F3" s="151" t="s">
        <v>696</v>
      </c>
      <c r="G3" s="151"/>
      <c r="H3" s="151"/>
    </row>
    <row r="4" spans="1:8" s="5" customFormat="1" ht="46" x14ac:dyDescent="0.35">
      <c r="A4" s="148" t="s">
        <v>269</v>
      </c>
      <c r="B4" s="148" t="s">
        <v>697</v>
      </c>
      <c r="C4" s="148" t="s">
        <v>113</v>
      </c>
      <c r="D4" s="149"/>
      <c r="E4" s="154">
        <v>157</v>
      </c>
      <c r="F4" s="151" t="s">
        <v>703</v>
      </c>
      <c r="G4" s="148"/>
      <c r="H4" s="151"/>
    </row>
    <row r="5" spans="1:8" s="5" customFormat="1" ht="12" x14ac:dyDescent="0.35">
      <c r="A5" s="148"/>
      <c r="B5" s="148"/>
      <c r="C5" s="148"/>
      <c r="D5" s="149"/>
      <c r="E5" s="154"/>
      <c r="F5" s="148"/>
      <c r="G5" s="148"/>
      <c r="H5" s="148"/>
    </row>
    <row r="6" spans="1:8" s="5" customFormat="1" ht="12" x14ac:dyDescent="0.35">
      <c r="A6" s="148"/>
      <c r="B6" s="148"/>
      <c r="C6" s="148"/>
      <c r="D6" s="149"/>
      <c r="E6" s="154"/>
      <c r="F6" s="151"/>
      <c r="G6" s="148"/>
      <c r="H6" s="148"/>
    </row>
    <row r="7" spans="1:8" s="5" customFormat="1" ht="12" x14ac:dyDescent="0.35">
      <c r="A7" s="148"/>
      <c r="B7" s="148"/>
      <c r="C7" s="148"/>
      <c r="D7" s="149"/>
      <c r="E7" s="154"/>
      <c r="F7" s="151"/>
      <c r="G7" s="148"/>
      <c r="H7" s="148"/>
    </row>
    <row r="8" spans="1:8" s="5" customFormat="1" ht="12" x14ac:dyDescent="0.35">
      <c r="A8" s="148"/>
      <c r="B8" s="148"/>
      <c r="C8" s="148"/>
      <c r="D8" s="149"/>
      <c r="E8" s="154"/>
      <c r="F8" s="148"/>
      <c r="G8" s="151"/>
      <c r="H8" s="148"/>
    </row>
    <row r="9" spans="1:8" s="5" customFormat="1" ht="12" x14ac:dyDescent="0.35">
      <c r="A9" s="148"/>
      <c r="B9" s="148"/>
      <c r="C9" s="148"/>
      <c r="D9" s="149"/>
      <c r="E9" s="154"/>
      <c r="F9" s="148"/>
      <c r="G9" s="148"/>
      <c r="H9" s="148"/>
    </row>
    <row r="10" spans="1:8" s="5" customFormat="1" ht="12" x14ac:dyDescent="0.35">
      <c r="A10" s="148"/>
      <c r="B10" s="148"/>
      <c r="C10" s="148"/>
      <c r="D10" s="149"/>
      <c r="E10" s="154"/>
      <c r="F10" s="151"/>
      <c r="G10" s="148"/>
      <c r="H10" s="148"/>
    </row>
    <row r="11" spans="1:8" s="5" customFormat="1" ht="12" x14ac:dyDescent="0.35">
      <c r="A11" s="148"/>
      <c r="B11" s="148"/>
      <c r="C11" s="148"/>
      <c r="D11" s="149"/>
      <c r="E11" s="154"/>
      <c r="F11" s="148"/>
      <c r="G11" s="148"/>
      <c r="H11" s="148"/>
    </row>
    <row r="12" spans="1:8" s="5" customFormat="1" ht="12" x14ac:dyDescent="0.35">
      <c r="A12" s="148"/>
      <c r="B12" s="148"/>
      <c r="C12" s="148"/>
      <c r="D12" s="149"/>
      <c r="E12" s="154"/>
      <c r="F12" s="148"/>
      <c r="G12" s="148"/>
      <c r="H12" s="148"/>
    </row>
    <row r="13" spans="1:8" s="5" customFormat="1" ht="12" x14ac:dyDescent="0.35">
      <c r="A13" s="148"/>
      <c r="B13" s="148"/>
      <c r="C13" s="148"/>
      <c r="D13" s="149"/>
      <c r="E13" s="154"/>
      <c r="F13" s="151"/>
      <c r="G13" s="148"/>
      <c r="H13" s="148"/>
    </row>
    <row r="14" spans="1:8" s="5" customFormat="1" ht="12" x14ac:dyDescent="0.35">
      <c r="A14" s="148"/>
      <c r="B14" s="148"/>
      <c r="C14" s="148"/>
      <c r="D14" s="149"/>
      <c r="E14" s="154"/>
      <c r="F14" s="148"/>
      <c r="G14" s="148"/>
      <c r="H14" s="148"/>
    </row>
    <row r="15" spans="1:8" s="5" customFormat="1" ht="12" x14ac:dyDescent="0.35">
      <c r="A15" s="148"/>
      <c r="B15" s="148"/>
      <c r="C15" s="148"/>
      <c r="D15" s="149"/>
      <c r="E15" s="154"/>
      <c r="F15" s="148"/>
      <c r="G15" s="148"/>
      <c r="H15" s="148"/>
    </row>
    <row r="16" spans="1:8" s="5" customFormat="1" ht="12" x14ac:dyDescent="0.35">
      <c r="A16" s="148"/>
      <c r="B16" s="148"/>
      <c r="C16" s="148"/>
      <c r="D16" s="149"/>
      <c r="E16" s="154"/>
      <c r="F16" s="148"/>
      <c r="G16" s="148"/>
      <c r="H16" s="148"/>
    </row>
    <row r="17" spans="1:8" s="5" customFormat="1" ht="12" x14ac:dyDescent="0.35">
      <c r="A17" s="148"/>
      <c r="B17" s="148"/>
      <c r="C17" s="148"/>
      <c r="D17" s="149"/>
      <c r="E17" s="154"/>
      <c r="F17" s="148"/>
      <c r="G17" s="148"/>
      <c r="H17" s="148"/>
    </row>
    <row r="18" spans="1:8" s="5" customFormat="1" ht="12" x14ac:dyDescent="0.35">
      <c r="A18" s="148"/>
      <c r="B18" s="148"/>
      <c r="C18" s="148"/>
      <c r="D18" s="149"/>
      <c r="E18" s="154"/>
      <c r="F18" s="148"/>
      <c r="G18" s="148"/>
      <c r="H18" s="148"/>
    </row>
    <row r="19" spans="1:8" s="5" customFormat="1" ht="12" x14ac:dyDescent="0.35">
      <c r="A19" s="148"/>
      <c r="B19" s="148"/>
      <c r="C19" s="148"/>
      <c r="D19" s="149"/>
      <c r="E19" s="154"/>
      <c r="F19" s="148"/>
      <c r="G19" s="148"/>
      <c r="H19" s="148"/>
    </row>
    <row r="20" spans="1:8" s="5" customFormat="1" ht="12" x14ac:dyDescent="0.35">
      <c r="A20" s="148"/>
      <c r="B20" s="148"/>
      <c r="C20" s="148"/>
      <c r="D20" s="149"/>
      <c r="E20" s="154"/>
      <c r="F20" s="148"/>
      <c r="G20" s="148"/>
      <c r="H20" s="148"/>
    </row>
    <row r="21" spans="1:8" s="5" customFormat="1" ht="12" x14ac:dyDescent="0.35">
      <c r="A21" s="148"/>
      <c r="B21" s="148"/>
      <c r="C21" s="148"/>
      <c r="D21" s="149"/>
      <c r="E21" s="154"/>
      <c r="F21" s="148"/>
      <c r="G21" s="148"/>
      <c r="H21" s="148"/>
    </row>
    <row r="22" spans="1:8" s="5" customFormat="1" ht="12" x14ac:dyDescent="0.35">
      <c r="A22" s="148"/>
      <c r="B22" s="148"/>
      <c r="C22" s="148"/>
      <c r="D22" s="149"/>
      <c r="E22" s="154"/>
      <c r="F22" s="148"/>
      <c r="G22" s="148"/>
      <c r="H22" s="148"/>
    </row>
    <row r="23" spans="1:8" s="5" customFormat="1" ht="12" x14ac:dyDescent="0.35">
      <c r="A23" s="148"/>
      <c r="B23" s="148"/>
      <c r="C23" s="148"/>
      <c r="D23" s="149"/>
      <c r="E23" s="154"/>
      <c r="F23" s="148"/>
      <c r="G23" s="148"/>
      <c r="H23" s="148"/>
    </row>
    <row r="24" spans="1:8" s="5" customFormat="1" ht="12" x14ac:dyDescent="0.35">
      <c r="A24" s="148"/>
      <c r="B24" s="148"/>
      <c r="C24" s="148"/>
      <c r="D24" s="149"/>
      <c r="E24" s="154"/>
      <c r="F24" s="148"/>
      <c r="G24" s="148"/>
      <c r="H24" s="148"/>
    </row>
  </sheetData>
  <autoFilter ref="A1:H3" xr:uid="{B5C5BC42-9090-42A9-A1A7-09505EF62446}"/>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4A658-D05F-4C76-89F6-5759EF6D7DE8}">
  <dimension ref="A1:H13"/>
  <sheetViews>
    <sheetView showGridLines="0" topLeftCell="A6" workbookViewId="0">
      <selection activeCell="C2" sqref="C2:C10"/>
    </sheetView>
  </sheetViews>
  <sheetFormatPr defaultColWidth="8.7265625" defaultRowHeight="14.5" x14ac:dyDescent="0.35"/>
  <cols>
    <col min="1" max="1" width="10.7265625" style="39" customWidth="1"/>
    <col min="2" max="2" width="41.54296875" style="39" bestFit="1" customWidth="1"/>
    <col min="3" max="3" width="11.54296875" style="39" bestFit="1" customWidth="1"/>
    <col min="4" max="4" width="8.1796875" style="1" bestFit="1" customWidth="1"/>
    <col min="5" max="5" width="22.1796875" style="1" bestFit="1" customWidth="1"/>
    <col min="6" max="6" width="32.81640625" style="39" bestFit="1" customWidth="1"/>
    <col min="7" max="7" width="19.453125" style="39" bestFit="1" customWidth="1"/>
    <col min="8" max="8" width="18" style="39" customWidth="1"/>
    <col min="9" max="16384" width="8.7265625" style="39"/>
  </cols>
  <sheetData>
    <row r="1" spans="1:8" s="1" customFormat="1" ht="15" thickBot="1" x14ac:dyDescent="0.4">
      <c r="A1" s="2" t="s">
        <v>0</v>
      </c>
      <c r="B1" s="3" t="s">
        <v>1</v>
      </c>
      <c r="C1" s="3" t="s">
        <v>2</v>
      </c>
      <c r="D1" s="3" t="s">
        <v>3</v>
      </c>
      <c r="E1" s="3" t="s">
        <v>6</v>
      </c>
      <c r="F1" s="3" t="s">
        <v>7</v>
      </c>
      <c r="G1" s="3" t="s">
        <v>45</v>
      </c>
      <c r="H1" s="4" t="s">
        <v>46</v>
      </c>
    </row>
    <row r="2" spans="1:8" s="5" customFormat="1" ht="240" x14ac:dyDescent="0.35">
      <c r="A2" s="91" t="s">
        <v>416</v>
      </c>
      <c r="B2" s="7" t="s">
        <v>415</v>
      </c>
      <c r="C2" s="7" t="s">
        <v>248</v>
      </c>
      <c r="D2" s="177">
        <v>45903</v>
      </c>
      <c r="E2" s="8">
        <v>36</v>
      </c>
      <c r="F2" s="84" t="s">
        <v>716</v>
      </c>
      <c r="G2" s="84"/>
      <c r="H2" s="9"/>
    </row>
    <row r="3" spans="1:8" s="5" customFormat="1" ht="228" x14ac:dyDescent="0.35">
      <c r="A3" s="6" t="s">
        <v>416</v>
      </c>
      <c r="B3" s="7" t="s">
        <v>685</v>
      </c>
      <c r="C3" s="7" t="s">
        <v>248</v>
      </c>
      <c r="D3" s="65">
        <v>45910</v>
      </c>
      <c r="E3" s="8">
        <v>160</v>
      </c>
      <c r="F3" s="84" t="s">
        <v>717</v>
      </c>
      <c r="G3" s="84"/>
      <c r="H3" s="9"/>
    </row>
    <row r="4" spans="1:8" s="5" customFormat="1" ht="24" x14ac:dyDescent="0.35">
      <c r="A4" s="6" t="s">
        <v>417</v>
      </c>
      <c r="B4" s="7" t="s">
        <v>464</v>
      </c>
      <c r="C4" s="7" t="s">
        <v>113</v>
      </c>
      <c r="D4" s="65">
        <v>45791</v>
      </c>
      <c r="E4" s="8">
        <v>158</v>
      </c>
      <c r="F4" s="84" t="s">
        <v>471</v>
      </c>
      <c r="G4" s="84"/>
      <c r="H4" s="9"/>
    </row>
    <row r="5" spans="1:8" s="5" customFormat="1" ht="204" x14ac:dyDescent="0.35">
      <c r="A5" s="6" t="s">
        <v>417</v>
      </c>
      <c r="B5" s="7" t="s">
        <v>466</v>
      </c>
      <c r="C5" s="7" t="s">
        <v>303</v>
      </c>
      <c r="D5" s="65"/>
      <c r="E5" s="8"/>
      <c r="F5" s="84" t="s">
        <v>718</v>
      </c>
      <c r="G5" s="84" t="s">
        <v>671</v>
      </c>
      <c r="H5" s="84" t="s">
        <v>672</v>
      </c>
    </row>
    <row r="6" spans="1:8" s="5" customFormat="1" ht="168" x14ac:dyDescent="0.35">
      <c r="A6" s="6" t="s">
        <v>417</v>
      </c>
      <c r="B6" s="7" t="s">
        <v>468</v>
      </c>
      <c r="C6" s="7" t="s">
        <v>248</v>
      </c>
      <c r="D6" s="65"/>
      <c r="E6" s="8"/>
      <c r="F6" s="84" t="s">
        <v>719</v>
      </c>
      <c r="G6" s="84"/>
      <c r="H6" s="84"/>
    </row>
    <row r="7" spans="1:8" s="5" customFormat="1" ht="24" x14ac:dyDescent="0.35">
      <c r="A7" s="6" t="s">
        <v>421</v>
      </c>
      <c r="B7" s="7" t="s">
        <v>465</v>
      </c>
      <c r="C7" s="7" t="s">
        <v>211</v>
      </c>
      <c r="D7" s="65">
        <v>45846</v>
      </c>
      <c r="E7" s="8">
        <v>37</v>
      </c>
      <c r="F7" s="84" t="s">
        <v>471</v>
      </c>
      <c r="G7" s="84"/>
      <c r="H7" s="84"/>
    </row>
    <row r="8" spans="1:8" s="5" customFormat="1" ht="228" x14ac:dyDescent="0.35">
      <c r="A8" s="6" t="s">
        <v>673</v>
      </c>
      <c r="B8" s="7" t="s">
        <v>467</v>
      </c>
      <c r="C8" s="7" t="s">
        <v>303</v>
      </c>
      <c r="D8" s="65">
        <v>45904</v>
      </c>
      <c r="E8" s="8"/>
      <c r="F8" s="84" t="s">
        <v>720</v>
      </c>
      <c r="G8" s="84"/>
      <c r="H8" s="84"/>
    </row>
    <row r="9" spans="1:8" s="5" customFormat="1" ht="120" x14ac:dyDescent="0.35">
      <c r="A9" s="6" t="s">
        <v>422</v>
      </c>
      <c r="B9" s="7" t="s">
        <v>589</v>
      </c>
      <c r="C9" s="7" t="s">
        <v>618</v>
      </c>
      <c r="D9" s="65"/>
      <c r="E9" s="8">
        <v>102</v>
      </c>
      <c r="F9" s="84" t="s">
        <v>698</v>
      </c>
      <c r="G9" s="84"/>
      <c r="H9" s="9"/>
    </row>
    <row r="10" spans="1:8" s="5" customFormat="1" ht="48" x14ac:dyDescent="0.35">
      <c r="A10" s="6" t="s">
        <v>673</v>
      </c>
      <c r="B10" s="7" t="s">
        <v>674</v>
      </c>
      <c r="C10" s="7" t="s">
        <v>113</v>
      </c>
      <c r="D10" s="65">
        <v>45912</v>
      </c>
      <c r="E10" s="8"/>
      <c r="F10" s="84" t="s">
        <v>721</v>
      </c>
      <c r="G10" s="84"/>
      <c r="H10" s="9"/>
    </row>
    <row r="11" spans="1:8" s="5" customFormat="1" ht="12" x14ac:dyDescent="0.35">
      <c r="A11" s="6"/>
      <c r="B11" s="7"/>
      <c r="C11" s="7"/>
      <c r="D11" s="65"/>
      <c r="E11" s="8"/>
      <c r="F11" s="84"/>
      <c r="G11" s="84"/>
      <c r="H11" s="9"/>
    </row>
    <row r="12" spans="1:8" s="5" customFormat="1" ht="12" x14ac:dyDescent="0.35">
      <c r="A12" s="6"/>
      <c r="B12" s="7"/>
      <c r="C12" s="7"/>
      <c r="D12" s="65"/>
      <c r="E12" s="8"/>
      <c r="F12" s="84"/>
      <c r="G12" s="84"/>
      <c r="H12" s="9"/>
    </row>
    <row r="13" spans="1:8" s="5" customFormat="1" ht="12" x14ac:dyDescent="0.35">
      <c r="A13" s="6"/>
      <c r="B13" s="7"/>
      <c r="C13" s="7"/>
      <c r="D13" s="65"/>
      <c r="E13" s="8"/>
      <c r="F13" s="84"/>
      <c r="G13" s="84"/>
      <c r="H13" s="9"/>
    </row>
  </sheetData>
  <autoFilter ref="A1:I13" xr:uid="{CD714BF3-FEFE-466A-B133-5A6DA2D21FC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3736-FC4B-4E03-B8DF-78EB7807A710}">
  <dimension ref="A1:H16"/>
  <sheetViews>
    <sheetView showGridLines="0" workbookViewId="0">
      <selection activeCell="E3" sqref="E3"/>
    </sheetView>
  </sheetViews>
  <sheetFormatPr defaultColWidth="8.7265625" defaultRowHeight="14.5" x14ac:dyDescent="0.35"/>
  <cols>
    <col min="1" max="1" width="14" style="39" bestFit="1" customWidth="1"/>
    <col min="2" max="2" width="41.54296875" style="39" bestFit="1" customWidth="1"/>
    <col min="3" max="3" width="11.54296875" style="39" bestFit="1" customWidth="1"/>
    <col min="4" max="4" width="15.1796875" style="1" bestFit="1" customWidth="1"/>
    <col min="5" max="5" width="22.1796875" style="1" bestFit="1" customWidth="1"/>
    <col min="6" max="6" width="32.81640625" style="39" bestFit="1" customWidth="1"/>
    <col min="7" max="7" width="19.453125" style="39" bestFit="1" customWidth="1"/>
    <col min="8" max="8" width="18"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57.5" x14ac:dyDescent="0.35">
      <c r="A2" s="148" t="s">
        <v>488</v>
      </c>
      <c r="B2" s="148" t="s">
        <v>489</v>
      </c>
      <c r="C2" s="148" t="s">
        <v>211</v>
      </c>
      <c r="D2" s="149"/>
      <c r="E2" s="154">
        <v>237</v>
      </c>
      <c r="F2" s="151" t="s">
        <v>681</v>
      </c>
      <c r="G2" s="148"/>
      <c r="H2" s="9"/>
    </row>
    <row r="3" spans="1:8" s="5" customFormat="1" ht="57.5" x14ac:dyDescent="0.35">
      <c r="A3" s="148"/>
      <c r="B3" s="148" t="s">
        <v>638</v>
      </c>
      <c r="C3" s="148" t="s">
        <v>211</v>
      </c>
      <c r="D3" s="149">
        <v>45910</v>
      </c>
      <c r="E3" s="154"/>
      <c r="F3" s="151" t="s">
        <v>683</v>
      </c>
      <c r="G3" s="148"/>
      <c r="H3" s="148"/>
    </row>
    <row r="4" spans="1:8" s="5" customFormat="1" ht="80.5" x14ac:dyDescent="0.35">
      <c r="A4" s="148" t="s">
        <v>487</v>
      </c>
      <c r="B4" s="148" t="s">
        <v>489</v>
      </c>
      <c r="C4" s="148" t="s">
        <v>211</v>
      </c>
      <c r="D4" s="149"/>
      <c r="E4" s="154">
        <v>290</v>
      </c>
      <c r="F4" s="151" t="s">
        <v>682</v>
      </c>
      <c r="G4" s="148"/>
      <c r="H4" s="148"/>
    </row>
    <row r="5" spans="1:8" s="5" customFormat="1" ht="12" x14ac:dyDescent="0.35">
      <c r="A5" s="148"/>
      <c r="B5" s="148"/>
      <c r="C5" s="148"/>
      <c r="D5" s="149"/>
      <c r="E5" s="154"/>
      <c r="F5" s="151"/>
      <c r="G5" s="148"/>
      <c r="H5" s="148"/>
    </row>
    <row r="6" spans="1:8" s="5" customFormat="1" ht="12" x14ac:dyDescent="0.35">
      <c r="A6" s="148"/>
      <c r="B6" s="148"/>
      <c r="C6" s="148"/>
      <c r="D6" s="149"/>
      <c r="E6" s="154"/>
      <c r="F6" s="148"/>
      <c r="G6" s="148"/>
      <c r="H6" s="148"/>
    </row>
    <row r="7" spans="1:8" s="5" customFormat="1" ht="12" x14ac:dyDescent="0.35">
      <c r="A7" s="148"/>
      <c r="B7" s="148"/>
      <c r="C7" s="148"/>
      <c r="D7" s="149"/>
      <c r="E7" s="154"/>
      <c r="F7" s="148"/>
      <c r="G7" s="148"/>
      <c r="H7" s="148"/>
    </row>
    <row r="8" spans="1:8" s="5" customFormat="1" ht="12" x14ac:dyDescent="0.35">
      <c r="A8" s="148"/>
      <c r="B8" s="148"/>
      <c r="C8" s="148"/>
      <c r="D8" s="149"/>
      <c r="E8" s="154"/>
      <c r="F8" s="148"/>
      <c r="G8" s="148"/>
      <c r="H8" s="148"/>
    </row>
    <row r="9" spans="1:8" s="5" customFormat="1" ht="12" x14ac:dyDescent="0.35">
      <c r="A9" s="148"/>
      <c r="B9" s="148"/>
      <c r="C9" s="148"/>
      <c r="D9" s="149"/>
      <c r="E9" s="154"/>
      <c r="F9" s="148"/>
      <c r="G9" s="148"/>
      <c r="H9" s="148"/>
    </row>
    <row r="10" spans="1:8" s="5" customFormat="1" ht="12" x14ac:dyDescent="0.35">
      <c r="A10" s="148"/>
      <c r="B10" s="148"/>
      <c r="C10" s="148"/>
      <c r="D10" s="149"/>
      <c r="E10" s="154"/>
      <c r="F10" s="148"/>
      <c r="G10" s="148"/>
      <c r="H10" s="148"/>
    </row>
    <row r="11" spans="1:8" s="5" customFormat="1" ht="12" x14ac:dyDescent="0.35">
      <c r="A11" s="148"/>
      <c r="B11" s="148"/>
      <c r="C11" s="148"/>
      <c r="D11" s="149"/>
      <c r="E11" s="154"/>
      <c r="F11" s="148"/>
      <c r="G11" s="148"/>
      <c r="H11" s="148"/>
    </row>
    <row r="12" spans="1:8" s="5" customFormat="1" ht="12" x14ac:dyDescent="0.35">
      <c r="A12" s="148"/>
      <c r="B12" s="148"/>
      <c r="C12" s="148"/>
      <c r="D12" s="149"/>
      <c r="E12" s="154"/>
      <c r="F12" s="148"/>
      <c r="G12" s="148"/>
      <c r="H12" s="148"/>
    </row>
    <row r="13" spans="1:8" s="5" customFormat="1" ht="12" x14ac:dyDescent="0.35">
      <c r="A13" s="148"/>
      <c r="B13" s="148"/>
      <c r="C13" s="148"/>
      <c r="D13" s="149"/>
      <c r="E13" s="154"/>
      <c r="F13" s="148"/>
      <c r="G13" s="148"/>
      <c r="H13" s="148"/>
    </row>
    <row r="14" spans="1:8" s="5" customFormat="1" ht="12" x14ac:dyDescent="0.35">
      <c r="A14" s="148"/>
      <c r="B14" s="148"/>
      <c r="C14" s="148"/>
      <c r="D14" s="149"/>
      <c r="E14" s="154"/>
      <c r="F14" s="148"/>
      <c r="G14" s="148"/>
      <c r="H14" s="148"/>
    </row>
    <row r="15" spans="1:8" s="5" customFormat="1" ht="12" x14ac:dyDescent="0.35">
      <c r="A15" s="148"/>
      <c r="B15" s="148"/>
      <c r="C15" s="148"/>
      <c r="D15" s="149"/>
      <c r="E15" s="154"/>
      <c r="F15" s="148"/>
      <c r="G15" s="148"/>
      <c r="H15" s="148"/>
    </row>
    <row r="16" spans="1:8" s="5" customFormat="1" ht="12" x14ac:dyDescent="0.35">
      <c r="A16" s="148"/>
      <c r="B16" s="148"/>
      <c r="C16" s="148"/>
      <c r="D16" s="149"/>
      <c r="E16" s="154"/>
      <c r="F16" s="148"/>
      <c r="G16" s="148"/>
      <c r="H16" s="148"/>
    </row>
  </sheetData>
  <autoFilter ref="A1:I16" xr:uid="{CD714BF3-FEFE-466A-B133-5A6DA2D21FC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9DC77-2EB8-4C79-9E19-7C21EE667766}">
  <dimension ref="A1:H25"/>
  <sheetViews>
    <sheetView showGridLines="0" workbookViewId="0">
      <selection activeCell="B2" sqref="B2"/>
    </sheetView>
  </sheetViews>
  <sheetFormatPr defaultColWidth="8.7265625" defaultRowHeight="14.5" x14ac:dyDescent="0.35"/>
  <cols>
    <col min="1" max="1" width="14" style="39" bestFit="1" customWidth="1"/>
    <col min="2" max="2" width="41.54296875" style="39" bestFit="1" customWidth="1"/>
    <col min="3" max="3" width="11.54296875" style="39" bestFit="1" customWidth="1"/>
    <col min="4" max="4" width="15.1796875" style="1" bestFit="1" customWidth="1"/>
    <col min="5" max="5" width="22.1796875" style="1" bestFit="1" customWidth="1"/>
    <col min="6" max="6" width="32.81640625" style="39" bestFit="1" customWidth="1"/>
    <col min="7" max="7" width="19.453125" style="39" bestFit="1" customWidth="1"/>
    <col min="8" max="8" width="18"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149.5" x14ac:dyDescent="0.35">
      <c r="A2" s="148" t="s">
        <v>630</v>
      </c>
      <c r="B2" s="148" t="s">
        <v>633</v>
      </c>
      <c r="C2" s="148" t="s">
        <v>61</v>
      </c>
      <c r="D2" s="149">
        <v>45881</v>
      </c>
      <c r="E2" s="154"/>
      <c r="F2" s="151" t="s">
        <v>680</v>
      </c>
      <c r="G2" s="151"/>
      <c r="H2" s="151"/>
    </row>
    <row r="3" spans="1:8" s="5" customFormat="1" ht="57.5" x14ac:dyDescent="0.35">
      <c r="A3" s="148"/>
      <c r="B3" s="148" t="s">
        <v>692</v>
      </c>
      <c r="C3" s="148" t="s">
        <v>24</v>
      </c>
      <c r="D3" s="149">
        <v>45912</v>
      </c>
      <c r="E3" s="154">
        <v>112</v>
      </c>
      <c r="F3" s="151" t="s">
        <v>690</v>
      </c>
      <c r="G3" s="148"/>
      <c r="H3" s="148"/>
    </row>
    <row r="4" spans="1:8" s="5" customFormat="1" ht="12" x14ac:dyDescent="0.35">
      <c r="A4" s="148"/>
      <c r="B4" s="148" t="s">
        <v>691</v>
      </c>
      <c r="C4" s="148" t="s">
        <v>24</v>
      </c>
      <c r="D4" s="149"/>
      <c r="E4" s="154"/>
      <c r="F4" s="148" t="s">
        <v>693</v>
      </c>
      <c r="G4" s="148"/>
      <c r="H4" s="148"/>
    </row>
    <row r="5" spans="1:8" s="5" customFormat="1" ht="12" x14ac:dyDescent="0.35">
      <c r="A5" s="148"/>
      <c r="B5" s="148" t="s">
        <v>694</v>
      </c>
      <c r="C5" s="148" t="s">
        <v>113</v>
      </c>
      <c r="D5" s="149"/>
      <c r="E5" s="154"/>
      <c r="F5" s="151" t="s">
        <v>695</v>
      </c>
      <c r="G5" s="148"/>
      <c r="H5" s="151"/>
    </row>
    <row r="6" spans="1:8" s="5" customFormat="1" ht="12" x14ac:dyDescent="0.35">
      <c r="A6" s="148"/>
      <c r="B6" s="148"/>
      <c r="C6" s="148"/>
      <c r="D6" s="149"/>
      <c r="E6" s="154"/>
      <c r="F6" s="148"/>
      <c r="G6" s="148"/>
      <c r="H6" s="148"/>
    </row>
    <row r="7" spans="1:8" s="5" customFormat="1" ht="12" x14ac:dyDescent="0.35">
      <c r="A7" s="148"/>
      <c r="B7" s="148"/>
      <c r="C7" s="148"/>
      <c r="D7" s="149"/>
      <c r="E7" s="154"/>
      <c r="F7" s="151"/>
      <c r="G7" s="148"/>
      <c r="H7" s="148"/>
    </row>
    <row r="8" spans="1:8" s="5" customFormat="1" ht="12" x14ac:dyDescent="0.35">
      <c r="A8" s="148"/>
      <c r="B8" s="148"/>
      <c r="C8" s="148"/>
      <c r="D8" s="149"/>
      <c r="E8" s="154"/>
      <c r="F8" s="151"/>
      <c r="G8" s="148"/>
      <c r="H8" s="148"/>
    </row>
    <row r="9" spans="1:8" s="5" customFormat="1" ht="12" x14ac:dyDescent="0.35">
      <c r="A9" s="148"/>
      <c r="B9" s="148"/>
      <c r="C9" s="148"/>
      <c r="D9" s="149"/>
      <c r="E9" s="154"/>
      <c r="F9" s="148"/>
      <c r="G9" s="148"/>
      <c r="H9" s="148"/>
    </row>
    <row r="10" spans="1:8" s="5" customFormat="1" ht="12" x14ac:dyDescent="0.35">
      <c r="A10" s="148"/>
      <c r="B10" s="148"/>
      <c r="C10" s="148"/>
      <c r="D10" s="149"/>
      <c r="E10" s="154"/>
      <c r="F10" s="148"/>
      <c r="G10" s="148"/>
      <c r="H10" s="148"/>
    </row>
    <row r="11" spans="1:8" s="5" customFormat="1" ht="12" x14ac:dyDescent="0.35">
      <c r="A11" s="148"/>
      <c r="B11" s="148"/>
      <c r="C11" s="148"/>
      <c r="D11" s="149"/>
      <c r="E11" s="154"/>
      <c r="F11" s="151"/>
      <c r="G11" s="148"/>
      <c r="H11" s="148"/>
    </row>
    <row r="12" spans="1:8" s="5" customFormat="1" ht="12" x14ac:dyDescent="0.35">
      <c r="A12" s="148"/>
      <c r="B12" s="148"/>
      <c r="C12" s="148"/>
      <c r="D12" s="149"/>
      <c r="E12" s="154"/>
      <c r="F12" s="148"/>
      <c r="G12" s="148"/>
      <c r="H12" s="148"/>
    </row>
    <row r="13" spans="1:8" s="5" customFormat="1" ht="12" x14ac:dyDescent="0.35">
      <c r="A13" s="148"/>
      <c r="B13" s="148"/>
      <c r="C13" s="148"/>
      <c r="D13" s="149"/>
      <c r="E13" s="154"/>
      <c r="F13" s="148"/>
      <c r="G13" s="148"/>
      <c r="H13" s="148"/>
    </row>
    <row r="14" spans="1:8" s="5" customFormat="1" ht="12" x14ac:dyDescent="0.35">
      <c r="A14" s="148"/>
      <c r="B14" s="148"/>
      <c r="C14" s="148"/>
      <c r="D14" s="149"/>
      <c r="E14" s="154"/>
      <c r="F14" s="151"/>
      <c r="G14" s="148"/>
      <c r="H14" s="148"/>
    </row>
    <row r="15" spans="1:8" s="5" customFormat="1" ht="12" x14ac:dyDescent="0.35">
      <c r="A15" s="148"/>
      <c r="B15" s="148"/>
      <c r="C15" s="148"/>
      <c r="D15" s="149"/>
      <c r="E15" s="154"/>
      <c r="F15" s="148"/>
      <c r="G15" s="148"/>
      <c r="H15" s="148"/>
    </row>
    <row r="16" spans="1:8" s="5" customFormat="1" ht="12" x14ac:dyDescent="0.35">
      <c r="A16" s="148"/>
      <c r="B16" s="148"/>
      <c r="C16" s="148"/>
      <c r="D16" s="149"/>
      <c r="E16" s="154"/>
      <c r="F16" s="148"/>
      <c r="G16" s="148"/>
      <c r="H16" s="148"/>
    </row>
    <row r="17" spans="1:8" s="5" customFormat="1" ht="12" x14ac:dyDescent="0.35">
      <c r="A17" s="148"/>
      <c r="B17" s="148"/>
      <c r="C17" s="148"/>
      <c r="D17" s="149"/>
      <c r="E17" s="154"/>
      <c r="F17" s="148"/>
      <c r="G17" s="148"/>
      <c r="H17" s="148"/>
    </row>
    <row r="18" spans="1:8" s="5" customFormat="1" ht="12" x14ac:dyDescent="0.35">
      <c r="A18" s="148"/>
      <c r="B18" s="148"/>
      <c r="C18" s="148"/>
      <c r="D18" s="149"/>
      <c r="E18" s="154"/>
      <c r="F18" s="148"/>
      <c r="G18" s="148"/>
      <c r="H18" s="148"/>
    </row>
    <row r="19" spans="1:8" s="5" customFormat="1" ht="12" x14ac:dyDescent="0.35">
      <c r="A19" s="148"/>
      <c r="B19" s="148"/>
      <c r="C19" s="148"/>
      <c r="D19" s="149"/>
      <c r="E19" s="154"/>
      <c r="F19" s="148"/>
      <c r="G19" s="148"/>
      <c r="H19" s="148"/>
    </row>
    <row r="20" spans="1:8" s="5" customFormat="1" ht="12" x14ac:dyDescent="0.35">
      <c r="A20" s="148"/>
      <c r="B20" s="148"/>
      <c r="C20" s="148"/>
      <c r="D20" s="149"/>
      <c r="E20" s="154"/>
      <c r="F20" s="148"/>
      <c r="G20" s="148"/>
      <c r="H20" s="148"/>
    </row>
    <row r="21" spans="1:8" s="5" customFormat="1" ht="12" x14ac:dyDescent="0.35">
      <c r="A21" s="148"/>
      <c r="B21" s="148"/>
      <c r="C21" s="148"/>
      <c r="D21" s="149"/>
      <c r="E21" s="154"/>
      <c r="F21" s="148"/>
      <c r="G21" s="148"/>
      <c r="H21" s="148"/>
    </row>
    <row r="22" spans="1:8" s="5" customFormat="1" ht="12" x14ac:dyDescent="0.35">
      <c r="A22" s="148"/>
      <c r="B22" s="148"/>
      <c r="C22" s="148"/>
      <c r="D22" s="149"/>
      <c r="E22" s="154"/>
      <c r="F22" s="148"/>
      <c r="G22" s="148"/>
      <c r="H22" s="148"/>
    </row>
    <row r="23" spans="1:8" s="5" customFormat="1" ht="12" x14ac:dyDescent="0.35">
      <c r="A23" s="148"/>
      <c r="B23" s="148"/>
      <c r="C23" s="148"/>
      <c r="D23" s="149"/>
      <c r="E23" s="154"/>
      <c r="F23" s="148"/>
      <c r="G23" s="148"/>
      <c r="H23" s="148"/>
    </row>
    <row r="24" spans="1:8" s="5" customFormat="1" ht="12" x14ac:dyDescent="0.35">
      <c r="A24" s="148"/>
      <c r="B24" s="148"/>
      <c r="C24" s="148"/>
      <c r="D24" s="149"/>
      <c r="E24" s="154"/>
      <c r="F24" s="148"/>
      <c r="G24" s="148"/>
      <c r="H24" s="148"/>
    </row>
    <row r="25" spans="1:8" s="5" customFormat="1" ht="12" x14ac:dyDescent="0.35">
      <c r="A25" s="148"/>
      <c r="B25" s="148"/>
      <c r="C25" s="148"/>
      <c r="D25" s="149"/>
      <c r="E25" s="154"/>
      <c r="F25" s="148"/>
      <c r="G25" s="148"/>
      <c r="H25" s="148"/>
    </row>
  </sheetData>
  <autoFilter ref="A1:I25" xr:uid="{CD714BF3-FEFE-466A-B133-5A6DA2D21FC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A9AA4-519E-4C8F-84D6-A25B7D29C8C9}">
  <dimension ref="A1:J9"/>
  <sheetViews>
    <sheetView showGridLines="0" workbookViewId="0">
      <selection activeCell="F15" sqref="F15"/>
    </sheetView>
  </sheetViews>
  <sheetFormatPr defaultColWidth="8.7265625" defaultRowHeight="14.5" x14ac:dyDescent="0.35"/>
  <cols>
    <col min="1" max="1" width="9.6328125" style="39" bestFit="1" customWidth="1"/>
    <col min="2" max="2" width="37.1796875" style="39" bestFit="1" customWidth="1"/>
    <col min="3" max="3" width="12.54296875" style="39" bestFit="1" customWidth="1"/>
    <col min="4" max="4" width="8.7265625" style="39"/>
    <col min="5" max="5" width="14.1796875" style="39" bestFit="1" customWidth="1"/>
    <col min="6" max="6" width="12.1796875" style="39" bestFit="1" customWidth="1"/>
    <col min="7" max="7" width="13.81640625" style="1" bestFit="1" customWidth="1"/>
    <col min="8" max="8" width="49.453125" style="39" bestFit="1" customWidth="1"/>
    <col min="9" max="10" width="24.36328125" style="39" customWidth="1"/>
    <col min="11" max="16384" width="8.7265625" style="39"/>
  </cols>
  <sheetData>
    <row r="1" spans="1:10" s="1" customFormat="1" x14ac:dyDescent="0.35">
      <c r="A1" s="2" t="s">
        <v>0</v>
      </c>
      <c r="B1" s="3" t="s">
        <v>1</v>
      </c>
      <c r="C1" s="3" t="s">
        <v>2</v>
      </c>
      <c r="D1" s="3" t="s">
        <v>3</v>
      </c>
      <c r="E1" s="3" t="s">
        <v>4</v>
      </c>
      <c r="F1" s="3" t="s">
        <v>5</v>
      </c>
      <c r="G1" s="3" t="s">
        <v>6</v>
      </c>
      <c r="H1" s="79" t="s">
        <v>7</v>
      </c>
      <c r="I1" s="56" t="s">
        <v>45</v>
      </c>
      <c r="J1" s="57" t="s">
        <v>46</v>
      </c>
    </row>
    <row r="2" spans="1:10" x14ac:dyDescent="0.35">
      <c r="A2" s="27" t="s">
        <v>39</v>
      </c>
      <c r="B2" s="25" t="s">
        <v>40</v>
      </c>
      <c r="C2" s="25" t="s">
        <v>11</v>
      </c>
      <c r="D2" s="26"/>
      <c r="E2" s="26" t="s">
        <v>41</v>
      </c>
      <c r="F2" s="26" t="s">
        <v>42</v>
      </c>
      <c r="G2" s="138"/>
      <c r="H2" s="28" t="s">
        <v>339</v>
      </c>
      <c r="I2" s="44"/>
      <c r="J2" s="44"/>
    </row>
    <row r="3" spans="1:10" x14ac:dyDescent="0.35">
      <c r="A3" s="25" t="s">
        <v>43</v>
      </c>
      <c r="B3" s="25" t="s">
        <v>44</v>
      </c>
      <c r="C3" s="25" t="s">
        <v>312</v>
      </c>
      <c r="D3" s="26">
        <v>45601</v>
      </c>
      <c r="E3" s="26"/>
      <c r="F3" s="26" t="s">
        <v>42</v>
      </c>
      <c r="G3" s="27"/>
      <c r="H3" s="28" t="s">
        <v>338</v>
      </c>
      <c r="I3" s="44"/>
      <c r="J3" s="44"/>
    </row>
    <row r="4" spans="1:10" x14ac:dyDescent="0.35">
      <c r="A4" s="25"/>
      <c r="B4" s="25" t="s">
        <v>314</v>
      </c>
      <c r="C4" s="25" t="s">
        <v>11</v>
      </c>
      <c r="D4" s="26"/>
      <c r="E4" s="25"/>
      <c r="F4" s="25"/>
      <c r="G4" s="27"/>
      <c r="H4" s="25" t="s">
        <v>369</v>
      </c>
      <c r="I4" s="44"/>
      <c r="J4" s="44"/>
    </row>
    <row r="5" spans="1:10" x14ac:dyDescent="0.35">
      <c r="A5" s="25"/>
      <c r="B5" s="25" t="s">
        <v>313</v>
      </c>
      <c r="C5" s="25" t="s">
        <v>11</v>
      </c>
      <c r="D5" s="26"/>
      <c r="E5" s="25"/>
      <c r="F5" s="25"/>
      <c r="G5" s="27"/>
      <c r="H5" s="25"/>
      <c r="I5" s="44"/>
      <c r="J5" s="44"/>
    </row>
    <row r="6" spans="1:10" x14ac:dyDescent="0.35">
      <c r="A6" s="44" t="s">
        <v>380</v>
      </c>
      <c r="B6" s="25" t="s">
        <v>314</v>
      </c>
      <c r="C6" s="44" t="s">
        <v>11</v>
      </c>
      <c r="D6" s="44"/>
      <c r="E6" s="44"/>
      <c r="F6" s="44"/>
      <c r="G6" s="47"/>
      <c r="H6" s="44"/>
      <c r="I6" s="44"/>
      <c r="J6" s="44"/>
    </row>
    <row r="7" spans="1:10" x14ac:dyDescent="0.35">
      <c r="A7" s="44" t="s">
        <v>380</v>
      </c>
      <c r="B7" s="25" t="s">
        <v>313</v>
      </c>
      <c r="C7" s="44" t="s">
        <v>11</v>
      </c>
      <c r="D7" s="44"/>
      <c r="E7" s="44"/>
      <c r="F7" s="44"/>
      <c r="G7" s="47"/>
      <c r="H7" s="44"/>
      <c r="I7" s="44"/>
      <c r="J7" s="44"/>
    </row>
    <row r="8" spans="1:10" ht="43.5" x14ac:dyDescent="0.35">
      <c r="A8" s="44" t="s">
        <v>39</v>
      </c>
      <c r="B8" s="25" t="s">
        <v>409</v>
      </c>
      <c r="C8" s="44" t="s">
        <v>61</v>
      </c>
      <c r="D8" s="45">
        <v>45848</v>
      </c>
      <c r="E8" s="44"/>
      <c r="F8" s="44"/>
      <c r="G8" s="47"/>
      <c r="H8" s="44" t="s">
        <v>606</v>
      </c>
      <c r="I8" s="109" t="s">
        <v>474</v>
      </c>
      <c r="J8" s="109" t="s">
        <v>475</v>
      </c>
    </row>
    <row r="9" spans="1:10" x14ac:dyDescent="0.35">
      <c r="A9" s="44" t="s">
        <v>43</v>
      </c>
      <c r="B9" s="25" t="s">
        <v>410</v>
      </c>
      <c r="C9" s="44" t="s">
        <v>11</v>
      </c>
      <c r="D9" s="44"/>
      <c r="E9" s="44"/>
      <c r="F9" s="44"/>
      <c r="G9" s="47">
        <v>71</v>
      </c>
      <c r="H9" s="109" t="s">
        <v>607</v>
      </c>
      <c r="I9" s="44"/>
      <c r="J9" s="4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8AB8E-7080-454F-AC35-C36E5C710527}">
  <dimension ref="A1:L21"/>
  <sheetViews>
    <sheetView showGridLines="0" topLeftCell="D1" workbookViewId="0">
      <selection activeCell="H2" sqref="H2"/>
    </sheetView>
  </sheetViews>
  <sheetFormatPr defaultColWidth="8.7265625" defaultRowHeight="13" x14ac:dyDescent="0.35"/>
  <cols>
    <col min="1" max="1" width="10.7265625" style="23" bestFit="1" customWidth="1"/>
    <col min="2" max="2" width="37.1796875" style="23" bestFit="1" customWidth="1"/>
    <col min="3" max="3" width="37.1796875" style="23" customWidth="1"/>
    <col min="4" max="4" width="18.26953125" style="23" bestFit="1" customWidth="1"/>
    <col min="5" max="5" width="15.90625" style="23" bestFit="1" customWidth="1"/>
    <col min="6" max="7" width="15.54296875" style="23" customWidth="1"/>
    <col min="8" max="8" width="15.90625" style="23" bestFit="1" customWidth="1"/>
    <col min="9" max="9" width="15.90625" style="23" customWidth="1"/>
    <col min="10" max="10" width="32.81640625" style="23" bestFit="1" customWidth="1"/>
    <col min="11" max="11" width="50.81640625" style="23" bestFit="1" customWidth="1"/>
    <col min="12" max="12" width="29.81640625" style="23" customWidth="1"/>
    <col min="13" max="16384" width="8.7265625" style="23"/>
  </cols>
  <sheetData>
    <row r="1" spans="1:12" s="16" customFormat="1" ht="13.5" thickBot="1" x14ac:dyDescent="0.4">
      <c r="A1" s="13" t="s">
        <v>0</v>
      </c>
      <c r="B1" s="14" t="s">
        <v>1</v>
      </c>
      <c r="C1" s="14" t="s">
        <v>253</v>
      </c>
      <c r="D1" s="14" t="s">
        <v>2</v>
      </c>
      <c r="E1" s="14" t="s">
        <v>3</v>
      </c>
      <c r="F1" s="14" t="s">
        <v>4</v>
      </c>
      <c r="G1" s="14" t="s">
        <v>5</v>
      </c>
      <c r="H1" s="14" t="s">
        <v>254</v>
      </c>
      <c r="I1" s="14" t="s">
        <v>305</v>
      </c>
      <c r="J1" s="14" t="s">
        <v>7</v>
      </c>
      <c r="K1" s="14" t="s">
        <v>45</v>
      </c>
      <c r="L1" s="15" t="s">
        <v>87</v>
      </c>
    </row>
    <row r="2" spans="1:12" x14ac:dyDescent="0.35">
      <c r="A2" s="17" t="s">
        <v>88</v>
      </c>
      <c r="B2" s="18" t="s">
        <v>89</v>
      </c>
      <c r="C2" s="18"/>
      <c r="D2" s="104" t="s">
        <v>91</v>
      </c>
      <c r="E2" s="18"/>
      <c r="F2" s="18" t="s">
        <v>90</v>
      </c>
      <c r="G2" s="18"/>
      <c r="H2" s="18" t="s">
        <v>255</v>
      </c>
      <c r="I2" s="18"/>
      <c r="J2" s="21" t="s">
        <v>92</v>
      </c>
      <c r="K2" s="21"/>
      <c r="L2" s="22"/>
    </row>
    <row r="3" spans="1:12" x14ac:dyDescent="0.35">
      <c r="A3" s="24" t="s">
        <v>295</v>
      </c>
      <c r="B3" s="25" t="s">
        <v>93</v>
      </c>
      <c r="C3" s="25"/>
      <c r="D3" s="105" t="s">
        <v>91</v>
      </c>
      <c r="E3" s="25"/>
      <c r="F3" s="25"/>
      <c r="G3" s="25"/>
      <c r="H3" s="25" t="s">
        <v>255</v>
      </c>
      <c r="I3" s="25"/>
      <c r="J3" s="28"/>
      <c r="K3" s="28"/>
      <c r="L3" s="29"/>
    </row>
    <row r="4" spans="1:12" x14ac:dyDescent="0.35">
      <c r="A4" s="24"/>
      <c r="B4" s="25" t="s">
        <v>94</v>
      </c>
      <c r="C4" s="25"/>
      <c r="D4" s="106" t="s">
        <v>95</v>
      </c>
      <c r="E4" s="25"/>
      <c r="F4" s="25"/>
      <c r="G4" s="25"/>
      <c r="H4" s="25" t="s">
        <v>255</v>
      </c>
      <c r="I4" s="25"/>
      <c r="J4" s="28"/>
      <c r="K4" s="30" t="s">
        <v>96</v>
      </c>
      <c r="L4" s="29"/>
    </row>
    <row r="5" spans="1:12" x14ac:dyDescent="0.35">
      <c r="A5" s="24"/>
      <c r="B5" s="25" t="s">
        <v>97</v>
      </c>
      <c r="C5" s="25"/>
      <c r="D5" s="105" t="s">
        <v>91</v>
      </c>
      <c r="E5" s="25"/>
      <c r="F5" s="25"/>
      <c r="G5" s="25"/>
      <c r="H5" s="25" t="s">
        <v>255</v>
      </c>
      <c r="I5" s="25"/>
      <c r="J5" s="28"/>
      <c r="K5" s="28"/>
      <c r="L5" s="29"/>
    </row>
    <row r="6" spans="1:12" x14ac:dyDescent="0.35">
      <c r="A6" s="24"/>
      <c r="B6" s="25" t="s">
        <v>98</v>
      </c>
      <c r="C6" s="25"/>
      <c r="D6" s="106" t="s">
        <v>95</v>
      </c>
      <c r="E6" s="25"/>
      <c r="F6" s="25"/>
      <c r="G6" s="25"/>
      <c r="H6" s="25" t="s">
        <v>255</v>
      </c>
      <c r="I6" s="25"/>
      <c r="J6" s="28"/>
      <c r="K6" s="30" t="s">
        <v>99</v>
      </c>
      <c r="L6" s="29"/>
    </row>
    <row r="7" spans="1:12" x14ac:dyDescent="0.35">
      <c r="A7" s="24"/>
      <c r="B7" s="25" t="s">
        <v>100</v>
      </c>
      <c r="C7" s="25"/>
      <c r="D7" s="105" t="s">
        <v>91</v>
      </c>
      <c r="E7" s="25"/>
      <c r="F7" s="25"/>
      <c r="G7" s="25"/>
      <c r="H7" s="25" t="s">
        <v>255</v>
      </c>
      <c r="I7" s="25"/>
      <c r="J7" s="28"/>
      <c r="K7" s="28"/>
      <c r="L7" s="29"/>
    </row>
    <row r="8" spans="1:12" ht="91" x14ac:dyDescent="0.35">
      <c r="A8" s="24"/>
      <c r="B8" s="25" t="s">
        <v>101</v>
      </c>
      <c r="C8" s="28" t="s">
        <v>271</v>
      </c>
      <c r="D8" s="107" t="s">
        <v>61</v>
      </c>
      <c r="E8" s="25"/>
      <c r="F8" s="25"/>
      <c r="G8" s="25"/>
      <c r="H8" s="25" t="s">
        <v>255</v>
      </c>
      <c r="I8" s="25"/>
      <c r="J8" s="131" t="s">
        <v>360</v>
      </c>
      <c r="K8" s="28" t="s">
        <v>102</v>
      </c>
      <c r="L8" s="29"/>
    </row>
    <row r="9" spans="1:12" ht="65" x14ac:dyDescent="0.35">
      <c r="A9" s="24"/>
      <c r="B9" s="25" t="s">
        <v>103</v>
      </c>
      <c r="C9" s="28" t="s">
        <v>272</v>
      </c>
      <c r="D9" s="105" t="s">
        <v>91</v>
      </c>
      <c r="E9" s="25"/>
      <c r="F9" s="25"/>
      <c r="G9" s="25"/>
      <c r="H9" s="25" t="s">
        <v>255</v>
      </c>
      <c r="I9" s="25"/>
      <c r="J9" s="28" t="s">
        <v>104</v>
      </c>
      <c r="K9" s="28"/>
      <c r="L9" s="29"/>
    </row>
    <row r="10" spans="1:12" ht="65" x14ac:dyDescent="0.35">
      <c r="A10" s="137" t="s">
        <v>88</v>
      </c>
      <c r="B10" s="130" t="s">
        <v>105</v>
      </c>
      <c r="C10" s="30" t="s">
        <v>273</v>
      </c>
      <c r="D10" s="130" t="s">
        <v>95</v>
      </c>
      <c r="E10" s="130"/>
      <c r="F10" s="130" t="s">
        <v>90</v>
      </c>
      <c r="G10" s="130"/>
      <c r="H10" s="130" t="s">
        <v>255</v>
      </c>
      <c r="I10" s="130"/>
      <c r="J10" s="28" t="s">
        <v>359</v>
      </c>
      <c r="K10" s="33" t="s">
        <v>301</v>
      </c>
      <c r="L10" s="29"/>
    </row>
    <row r="11" spans="1:12" ht="78" x14ac:dyDescent="0.35">
      <c r="A11" s="24"/>
      <c r="B11" s="25" t="s">
        <v>106</v>
      </c>
      <c r="C11" s="28" t="s">
        <v>274</v>
      </c>
      <c r="D11" s="105" t="s">
        <v>91</v>
      </c>
      <c r="E11" s="25"/>
      <c r="F11" s="25"/>
      <c r="G11" s="25"/>
      <c r="H11" s="25" t="s">
        <v>255</v>
      </c>
      <c r="I11" s="25"/>
      <c r="J11" s="28" t="s">
        <v>104</v>
      </c>
      <c r="K11" s="33"/>
      <c r="L11" s="29"/>
    </row>
    <row r="12" spans="1:12" ht="91" x14ac:dyDescent="0.35">
      <c r="A12" s="24"/>
      <c r="B12" s="25" t="s">
        <v>107</v>
      </c>
      <c r="C12" s="28" t="s">
        <v>275</v>
      </c>
      <c r="D12" s="105" t="s">
        <v>91</v>
      </c>
      <c r="E12" s="25"/>
      <c r="F12" s="25"/>
      <c r="G12" s="25"/>
      <c r="H12" s="25" t="s">
        <v>255</v>
      </c>
      <c r="I12" s="25"/>
      <c r="J12" s="28" t="s">
        <v>104</v>
      </c>
      <c r="K12" s="30"/>
      <c r="L12" s="29"/>
    </row>
    <row r="13" spans="1:12" ht="26" x14ac:dyDescent="0.35">
      <c r="A13" s="24" t="s">
        <v>108</v>
      </c>
      <c r="B13" s="25" t="s">
        <v>109</v>
      </c>
      <c r="C13" s="25"/>
      <c r="D13" s="106" t="s">
        <v>95</v>
      </c>
      <c r="E13" s="25"/>
      <c r="F13" s="25"/>
      <c r="G13" s="25"/>
      <c r="H13" s="25" t="s">
        <v>255</v>
      </c>
      <c r="I13" s="25"/>
      <c r="J13" s="28" t="s">
        <v>161</v>
      </c>
      <c r="K13" s="28"/>
      <c r="L13" s="29"/>
    </row>
    <row r="14" spans="1:12" ht="104" x14ac:dyDescent="0.35">
      <c r="A14" s="24" t="s">
        <v>269</v>
      </c>
      <c r="B14" s="25" t="s">
        <v>162</v>
      </c>
      <c r="C14" s="28" t="s">
        <v>276</v>
      </c>
      <c r="D14" s="25" t="s">
        <v>61</v>
      </c>
      <c r="E14" s="25"/>
      <c r="F14" s="25" t="s">
        <v>110</v>
      </c>
      <c r="G14" s="25"/>
      <c r="H14" s="25" t="s">
        <v>270</v>
      </c>
      <c r="I14" s="25">
        <v>264</v>
      </c>
      <c r="J14" s="28" t="s">
        <v>386</v>
      </c>
      <c r="K14" s="28"/>
      <c r="L14" s="29"/>
    </row>
    <row r="15" spans="1:12" ht="26" x14ac:dyDescent="0.35">
      <c r="A15" s="24" t="s">
        <v>88</v>
      </c>
      <c r="B15" s="25" t="s">
        <v>304</v>
      </c>
      <c r="C15" s="25"/>
      <c r="D15" s="25" t="s">
        <v>21</v>
      </c>
      <c r="E15" s="25"/>
      <c r="F15" s="25"/>
      <c r="G15" s="25"/>
      <c r="H15" s="25" t="s">
        <v>255</v>
      </c>
      <c r="I15" s="25">
        <v>196</v>
      </c>
      <c r="J15" s="30" t="s">
        <v>349</v>
      </c>
      <c r="K15" s="25"/>
      <c r="L15" s="29" t="s">
        <v>343</v>
      </c>
    </row>
    <row r="16" spans="1:12" ht="91" x14ac:dyDescent="0.35">
      <c r="A16" s="50" t="s">
        <v>370</v>
      </c>
      <c r="B16" s="51" t="s">
        <v>372</v>
      </c>
      <c r="C16" s="129" t="s">
        <v>376</v>
      </c>
      <c r="D16" s="51" t="s">
        <v>21</v>
      </c>
      <c r="E16" s="51"/>
      <c r="F16" s="51"/>
      <c r="G16" s="51"/>
      <c r="H16" s="51" t="s">
        <v>270</v>
      </c>
      <c r="I16" s="51">
        <v>72</v>
      </c>
      <c r="J16" s="129" t="s">
        <v>387</v>
      </c>
      <c r="K16" s="51"/>
      <c r="L16" s="53"/>
    </row>
    <row r="17" spans="1:12" ht="104.5" thickBot="1" x14ac:dyDescent="0.4">
      <c r="A17" s="31" t="s">
        <v>371</v>
      </c>
      <c r="B17" s="36" t="s">
        <v>373</v>
      </c>
      <c r="C17" s="94" t="s">
        <v>375</v>
      </c>
      <c r="D17" s="36" t="s">
        <v>21</v>
      </c>
      <c r="E17" s="36"/>
      <c r="F17" s="36"/>
      <c r="G17" s="36"/>
      <c r="H17" s="36" t="s">
        <v>270</v>
      </c>
      <c r="I17" s="36">
        <v>104</v>
      </c>
      <c r="J17" s="30" t="s">
        <v>388</v>
      </c>
      <c r="K17" s="36"/>
      <c r="L17" s="38"/>
    </row>
    <row r="18" spans="1:12" x14ac:dyDescent="0.35">
      <c r="A18" s="24" t="s">
        <v>269</v>
      </c>
      <c r="B18" s="25" t="s">
        <v>389</v>
      </c>
      <c r="C18" s="25"/>
      <c r="D18" s="25" t="s">
        <v>24</v>
      </c>
      <c r="E18" s="25"/>
      <c r="F18" s="25"/>
      <c r="G18" s="25"/>
      <c r="H18" s="25"/>
      <c r="I18" s="25">
        <v>191</v>
      </c>
      <c r="J18" s="25" t="s">
        <v>391</v>
      </c>
      <c r="K18" s="25"/>
      <c r="L18" s="29"/>
    </row>
    <row r="19" spans="1:12" x14ac:dyDescent="0.35">
      <c r="A19" s="23" t="s">
        <v>88</v>
      </c>
      <c r="B19" s="23" t="s">
        <v>390</v>
      </c>
      <c r="D19" s="23" t="s">
        <v>24</v>
      </c>
      <c r="J19" s="23" t="s">
        <v>392</v>
      </c>
    </row>
    <row r="20" spans="1:12" x14ac:dyDescent="0.35">
      <c r="A20" s="23" t="s">
        <v>374</v>
      </c>
    </row>
    <row r="21" spans="1:12" x14ac:dyDescent="0.35">
      <c r="A21" s="23" t="s">
        <v>286</v>
      </c>
    </row>
  </sheetData>
  <autoFilter ref="A1:L21" xr:uid="{D488AB8E-7080-454F-AC35-C36E5C710527}"/>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23EF4-D07A-439C-9906-E352974711C5}">
  <dimension ref="A1:H15"/>
  <sheetViews>
    <sheetView showGridLines="0" workbookViewId="0">
      <selection activeCell="G13" sqref="G13"/>
    </sheetView>
  </sheetViews>
  <sheetFormatPr defaultColWidth="8.7265625" defaultRowHeight="14.5" x14ac:dyDescent="0.35"/>
  <cols>
    <col min="1" max="1" width="10.7265625" style="39" customWidth="1"/>
    <col min="2" max="2" width="41.54296875" style="39" bestFit="1" customWidth="1"/>
    <col min="3" max="3" width="11.54296875" style="39" bestFit="1" customWidth="1"/>
    <col min="4" max="4" width="8.1796875" style="1" bestFit="1" customWidth="1"/>
    <col min="5" max="5" width="22.1796875" style="1" bestFit="1" customWidth="1"/>
    <col min="6" max="6" width="32.81640625" style="39" bestFit="1" customWidth="1"/>
    <col min="7" max="7" width="19.453125" style="39" bestFit="1" customWidth="1"/>
    <col min="8" max="8" width="18" style="39" customWidth="1"/>
    <col min="9" max="16384" width="8.7265625" style="39"/>
  </cols>
  <sheetData>
    <row r="1" spans="1:8" s="1" customFormat="1" x14ac:dyDescent="0.35">
      <c r="A1" s="2" t="s">
        <v>0</v>
      </c>
      <c r="B1" s="3" t="s">
        <v>1</v>
      </c>
      <c r="C1" s="3" t="s">
        <v>2</v>
      </c>
      <c r="D1" s="3" t="s">
        <v>3</v>
      </c>
      <c r="E1" s="3" t="s">
        <v>6</v>
      </c>
      <c r="F1" s="3" t="s">
        <v>7</v>
      </c>
      <c r="G1" s="3" t="s">
        <v>45</v>
      </c>
      <c r="H1" s="4" t="s">
        <v>46</v>
      </c>
    </row>
    <row r="2" spans="1:8" s="5" customFormat="1" ht="12" x14ac:dyDescent="0.35">
      <c r="A2" s="6" t="s">
        <v>490</v>
      </c>
      <c r="B2" s="7" t="s">
        <v>491</v>
      </c>
      <c r="C2" s="7" t="s">
        <v>11</v>
      </c>
      <c r="D2" s="65"/>
      <c r="E2" s="8">
        <v>379</v>
      </c>
      <c r="F2" s="84"/>
      <c r="G2" s="84"/>
      <c r="H2" s="9"/>
    </row>
    <row r="3" spans="1:8" s="5" customFormat="1" ht="12" x14ac:dyDescent="0.35">
      <c r="A3" s="6" t="s">
        <v>490</v>
      </c>
      <c r="B3" s="7" t="s">
        <v>492</v>
      </c>
      <c r="C3" s="7" t="s">
        <v>11</v>
      </c>
      <c r="D3" s="65"/>
      <c r="E3" s="8"/>
      <c r="F3" s="84"/>
      <c r="G3" s="84"/>
      <c r="H3" s="9"/>
    </row>
    <row r="4" spans="1:8" s="5" customFormat="1" ht="12" x14ac:dyDescent="0.35">
      <c r="A4" s="6" t="s">
        <v>490</v>
      </c>
      <c r="B4" s="7" t="s">
        <v>494</v>
      </c>
      <c r="C4" s="7" t="s">
        <v>11</v>
      </c>
      <c r="D4" s="65"/>
      <c r="E4" s="8"/>
      <c r="F4" s="84"/>
      <c r="G4" s="84"/>
      <c r="H4" s="9"/>
    </row>
    <row r="5" spans="1:8" s="5" customFormat="1" ht="12" x14ac:dyDescent="0.35">
      <c r="A5" s="6" t="s">
        <v>490</v>
      </c>
      <c r="B5" s="7" t="s">
        <v>495</v>
      </c>
      <c r="C5" s="7" t="s">
        <v>24</v>
      </c>
      <c r="D5" s="65"/>
      <c r="E5" s="8"/>
      <c r="F5" s="84"/>
      <c r="G5" s="84"/>
      <c r="H5" s="9"/>
    </row>
    <row r="6" spans="1:8" s="5" customFormat="1" ht="12" x14ac:dyDescent="0.35">
      <c r="A6" s="6" t="s">
        <v>490</v>
      </c>
      <c r="B6" s="7" t="s">
        <v>493</v>
      </c>
      <c r="C6" s="7" t="s">
        <v>61</v>
      </c>
      <c r="D6" s="65"/>
      <c r="E6" s="8"/>
      <c r="F6" s="84"/>
      <c r="G6" s="84"/>
      <c r="H6" s="9"/>
    </row>
    <row r="7" spans="1:8" s="5" customFormat="1" ht="12" x14ac:dyDescent="0.35">
      <c r="A7" s="6"/>
      <c r="B7" s="7"/>
      <c r="C7" s="7"/>
      <c r="D7" s="65"/>
      <c r="E7" s="8"/>
      <c r="F7" s="84"/>
      <c r="G7" s="84"/>
      <c r="H7" s="9"/>
    </row>
    <row r="8" spans="1:8" s="5" customFormat="1" ht="12" x14ac:dyDescent="0.35">
      <c r="A8" s="6"/>
      <c r="B8" s="7"/>
      <c r="C8" s="7"/>
      <c r="D8" s="65"/>
      <c r="E8" s="8"/>
      <c r="F8" s="84"/>
      <c r="G8" s="84"/>
      <c r="H8" s="9"/>
    </row>
    <row r="9" spans="1:8" s="5" customFormat="1" ht="12" x14ac:dyDescent="0.35">
      <c r="A9" s="6" t="s">
        <v>501</v>
      </c>
      <c r="B9" s="7" t="s">
        <v>496</v>
      </c>
      <c r="C9" s="7" t="s">
        <v>11</v>
      </c>
      <c r="D9" s="65"/>
      <c r="E9" s="8">
        <v>440</v>
      </c>
      <c r="F9" s="84"/>
      <c r="G9" s="84"/>
      <c r="H9" s="9"/>
    </row>
    <row r="10" spans="1:8" s="5" customFormat="1" ht="12" x14ac:dyDescent="0.35">
      <c r="A10" s="6" t="s">
        <v>501</v>
      </c>
      <c r="B10" s="7" t="s">
        <v>497</v>
      </c>
      <c r="C10" s="7" t="s">
        <v>11</v>
      </c>
      <c r="D10" s="65"/>
      <c r="E10" s="8"/>
      <c r="F10" s="84"/>
      <c r="G10" s="84"/>
      <c r="H10" s="9"/>
    </row>
    <row r="11" spans="1:8" s="5" customFormat="1" ht="12" x14ac:dyDescent="0.35">
      <c r="A11" s="6" t="s">
        <v>501</v>
      </c>
      <c r="B11" s="7" t="s">
        <v>498</v>
      </c>
      <c r="C11" s="7" t="s">
        <v>11</v>
      </c>
      <c r="D11" s="65"/>
      <c r="E11" s="8"/>
      <c r="F11" s="84"/>
      <c r="G11" s="84"/>
      <c r="H11" s="9"/>
    </row>
    <row r="12" spans="1:8" s="5" customFormat="1" ht="12" x14ac:dyDescent="0.35">
      <c r="A12" s="6" t="s">
        <v>501</v>
      </c>
      <c r="B12" s="7" t="s">
        <v>499</v>
      </c>
      <c r="C12" s="7" t="s">
        <v>61</v>
      </c>
      <c r="D12" s="65"/>
      <c r="E12" s="8"/>
      <c r="F12" s="84"/>
      <c r="G12" s="84"/>
      <c r="H12" s="9"/>
    </row>
    <row r="13" spans="1:8" s="5" customFormat="1" ht="12" x14ac:dyDescent="0.35">
      <c r="A13" s="6" t="s">
        <v>501</v>
      </c>
      <c r="B13" s="7" t="s">
        <v>500</v>
      </c>
      <c r="C13" s="7" t="s">
        <v>21</v>
      </c>
      <c r="D13" s="65"/>
      <c r="E13" s="8"/>
      <c r="F13" s="84"/>
      <c r="G13" s="84"/>
      <c r="H13" s="9"/>
    </row>
    <row r="14" spans="1:8" s="5" customFormat="1" ht="12" x14ac:dyDescent="0.35">
      <c r="A14" s="6"/>
      <c r="B14" s="7"/>
      <c r="C14" s="7"/>
      <c r="D14" s="65"/>
      <c r="E14" s="8"/>
      <c r="F14" s="84"/>
      <c r="G14" s="84"/>
      <c r="H14" s="9"/>
    </row>
    <row r="15" spans="1:8" s="5" customFormat="1" ht="12" x14ac:dyDescent="0.35">
      <c r="A15" s="7"/>
      <c r="B15" s="7"/>
      <c r="C15" s="7"/>
      <c r="D15" s="65"/>
      <c r="E15" s="8"/>
      <c r="F15" s="84"/>
      <c r="G15" s="84"/>
      <c r="H15" s="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C527-F961-41A5-86B9-6A03AD10C683}">
  <dimension ref="A1:J36"/>
  <sheetViews>
    <sheetView showGridLines="0" workbookViewId="0">
      <selection activeCell="G8" sqref="G8"/>
    </sheetView>
  </sheetViews>
  <sheetFormatPr defaultColWidth="8.7265625" defaultRowHeight="13" x14ac:dyDescent="0.35"/>
  <cols>
    <col min="1" max="1" width="17.81640625" style="23" bestFit="1" customWidth="1"/>
    <col min="2" max="2" width="37.1796875" style="23" bestFit="1" customWidth="1"/>
    <col min="3" max="3" width="10.08984375" style="119" customWidth="1"/>
    <col min="4" max="4" width="15.54296875" style="23" customWidth="1"/>
    <col min="5" max="5" width="10.6328125" style="23" bestFit="1" customWidth="1"/>
    <col min="6" max="6" width="8.453125" style="23" bestFit="1" customWidth="1"/>
    <col min="7" max="7" width="9.08984375" style="119" customWidth="1"/>
    <col min="8" max="8" width="32.81640625" style="23" bestFit="1" customWidth="1"/>
    <col min="9" max="9" width="34.453125" style="23" bestFit="1" customWidth="1"/>
    <col min="10" max="10" width="29.81640625" style="23" customWidth="1"/>
    <col min="11" max="16384" width="8.7265625" style="23"/>
  </cols>
  <sheetData>
    <row r="1" spans="1:10" s="16" customFormat="1" ht="26.5" thickBot="1" x14ac:dyDescent="0.4">
      <c r="A1" s="13" t="s">
        <v>0</v>
      </c>
      <c r="B1" s="14" t="s">
        <v>1</v>
      </c>
      <c r="C1" s="116" t="s">
        <v>4</v>
      </c>
      <c r="D1" s="14" t="s">
        <v>5</v>
      </c>
      <c r="E1" s="14" t="s">
        <v>2</v>
      </c>
      <c r="F1" s="14" t="s">
        <v>3</v>
      </c>
      <c r="G1" s="116" t="s">
        <v>6</v>
      </c>
      <c r="H1" s="14" t="s">
        <v>7</v>
      </c>
      <c r="I1" s="14" t="s">
        <v>45</v>
      </c>
      <c r="J1" s="15" t="s">
        <v>87</v>
      </c>
    </row>
    <row r="2" spans="1:10" ht="26" x14ac:dyDescent="0.35">
      <c r="A2" s="17" t="s">
        <v>137</v>
      </c>
      <c r="B2" s="18" t="s">
        <v>138</v>
      </c>
      <c r="C2" s="114" t="s">
        <v>139</v>
      </c>
      <c r="D2" s="18" t="s">
        <v>140</v>
      </c>
      <c r="E2" s="18" t="s">
        <v>11</v>
      </c>
      <c r="F2" s="19"/>
      <c r="G2" s="114"/>
      <c r="H2" s="21" t="s">
        <v>315</v>
      </c>
      <c r="I2" s="21"/>
      <c r="J2" s="111"/>
    </row>
    <row r="3" spans="1:10" x14ac:dyDescent="0.35">
      <c r="A3" s="24"/>
      <c r="B3" s="25" t="s">
        <v>141</v>
      </c>
      <c r="C3" s="69" t="s">
        <v>139</v>
      </c>
      <c r="D3" s="25"/>
      <c r="E3" s="25" t="s">
        <v>11</v>
      </c>
      <c r="F3" s="26"/>
      <c r="G3" s="69"/>
      <c r="H3" s="28" t="s">
        <v>142</v>
      </c>
      <c r="I3" s="28" t="s">
        <v>143</v>
      </c>
      <c r="J3" s="29" t="s">
        <v>144</v>
      </c>
    </row>
    <row r="4" spans="1:10" x14ac:dyDescent="0.35">
      <c r="A4" s="24"/>
      <c r="B4" s="25" t="s">
        <v>145</v>
      </c>
      <c r="C4" s="69" t="s">
        <v>139</v>
      </c>
      <c r="D4" s="25"/>
      <c r="E4" s="25" t="s">
        <v>11</v>
      </c>
      <c r="F4" s="26"/>
      <c r="G4" s="69"/>
      <c r="H4" s="28" t="s">
        <v>142</v>
      </c>
      <c r="I4" s="28" t="s">
        <v>143</v>
      </c>
      <c r="J4" s="29" t="s">
        <v>144</v>
      </c>
    </row>
    <row r="5" spans="1:10" x14ac:dyDescent="0.35">
      <c r="A5" s="24"/>
      <c r="B5" s="25"/>
      <c r="C5" s="69"/>
      <c r="D5" s="25"/>
      <c r="E5" s="25"/>
      <c r="F5" s="26"/>
      <c r="G5" s="69"/>
      <c r="H5" s="28"/>
      <c r="I5" s="28"/>
      <c r="J5" s="29"/>
    </row>
    <row r="6" spans="1:10" x14ac:dyDescent="0.35">
      <c r="A6" s="24"/>
      <c r="B6" s="25"/>
      <c r="C6" s="69"/>
      <c r="D6" s="25"/>
      <c r="E6" s="25"/>
      <c r="F6" s="26"/>
      <c r="G6" s="69"/>
      <c r="H6" s="28"/>
      <c r="I6" s="28"/>
      <c r="J6" s="29"/>
    </row>
    <row r="7" spans="1:10" x14ac:dyDescent="0.35">
      <c r="A7" s="62" t="s">
        <v>146</v>
      </c>
      <c r="B7" s="25" t="s">
        <v>147</v>
      </c>
      <c r="C7" s="69" t="s">
        <v>139</v>
      </c>
      <c r="D7" s="18" t="s">
        <v>140</v>
      </c>
      <c r="E7" s="25" t="s">
        <v>11</v>
      </c>
      <c r="F7" s="26"/>
      <c r="G7" s="69">
        <v>382</v>
      </c>
      <c r="H7" s="28"/>
      <c r="I7" s="33"/>
      <c r="J7" s="29"/>
    </row>
    <row r="8" spans="1:10" x14ac:dyDescent="0.35">
      <c r="A8" s="24"/>
      <c r="B8" s="25" t="s">
        <v>148</v>
      </c>
      <c r="C8" s="69" t="s">
        <v>139</v>
      </c>
      <c r="D8" s="25"/>
      <c r="E8" s="25" t="s">
        <v>11</v>
      </c>
      <c r="F8" s="26"/>
      <c r="G8" s="69"/>
      <c r="H8" s="28"/>
      <c r="I8" s="34"/>
      <c r="J8" s="29"/>
    </row>
    <row r="9" spans="1:10" x14ac:dyDescent="0.35">
      <c r="A9" s="24"/>
      <c r="B9" s="25" t="s">
        <v>149</v>
      </c>
      <c r="C9" s="69" t="s">
        <v>139</v>
      </c>
      <c r="D9" s="25"/>
      <c r="E9" s="25" t="s">
        <v>11</v>
      </c>
      <c r="F9" s="26"/>
      <c r="G9" s="69"/>
      <c r="H9" s="28"/>
      <c r="I9" s="28"/>
      <c r="J9" s="29"/>
    </row>
    <row r="10" spans="1:10" x14ac:dyDescent="0.35">
      <c r="A10" s="24"/>
      <c r="B10" s="25"/>
      <c r="C10" s="69"/>
      <c r="D10" s="25"/>
      <c r="E10" s="25"/>
      <c r="F10" s="26"/>
      <c r="G10" s="69"/>
      <c r="H10" s="28"/>
      <c r="I10" s="34"/>
      <c r="J10" s="29"/>
    </row>
    <row r="11" spans="1:10" x14ac:dyDescent="0.35">
      <c r="A11" s="24"/>
      <c r="B11" s="25"/>
      <c r="C11" s="69"/>
      <c r="D11" s="25"/>
      <c r="E11" s="25"/>
      <c r="F11" s="26"/>
      <c r="G11" s="69"/>
      <c r="H11" s="28"/>
      <c r="I11" s="34"/>
      <c r="J11" s="29"/>
    </row>
    <row r="12" spans="1:10" x14ac:dyDescent="0.35">
      <c r="A12" s="54" t="s">
        <v>150</v>
      </c>
      <c r="B12" s="25" t="s">
        <v>151</v>
      </c>
      <c r="C12" s="69" t="s">
        <v>139</v>
      </c>
      <c r="D12" s="18" t="s">
        <v>140</v>
      </c>
      <c r="E12" s="25" t="s">
        <v>211</v>
      </c>
      <c r="F12" s="26"/>
      <c r="G12" s="69">
        <v>222</v>
      </c>
      <c r="H12" s="28" t="s">
        <v>382</v>
      </c>
      <c r="I12" s="28"/>
      <c r="J12" s="32"/>
    </row>
    <row r="13" spans="1:10" x14ac:dyDescent="0.35">
      <c r="A13" s="50"/>
      <c r="B13" s="51"/>
      <c r="C13" s="117"/>
      <c r="D13" s="51"/>
      <c r="E13" s="51"/>
      <c r="F13" s="51"/>
      <c r="G13" s="117"/>
      <c r="H13" s="28" t="s">
        <v>353</v>
      </c>
      <c r="I13" s="51"/>
      <c r="J13" s="53"/>
    </row>
    <row r="14" spans="1:10" ht="65" x14ac:dyDescent="0.35">
      <c r="A14" s="50"/>
      <c r="B14" s="51" t="s">
        <v>356</v>
      </c>
      <c r="C14" s="117"/>
      <c r="D14" s="51"/>
      <c r="E14" s="51" t="s">
        <v>21</v>
      </c>
      <c r="F14" s="51"/>
      <c r="G14" s="117"/>
      <c r="H14" s="129" t="s">
        <v>383</v>
      </c>
      <c r="I14" s="28" t="s">
        <v>354</v>
      </c>
      <c r="J14" s="28" t="s">
        <v>355</v>
      </c>
    </row>
    <row r="15" spans="1:10" ht="13.5" thickBot="1" x14ac:dyDescent="0.4">
      <c r="A15" s="31"/>
      <c r="B15" s="36" t="s">
        <v>358</v>
      </c>
      <c r="C15" s="118"/>
      <c r="D15" s="36"/>
      <c r="E15" s="36"/>
      <c r="F15" s="36"/>
      <c r="G15" s="118"/>
      <c r="H15" s="36" t="s">
        <v>357</v>
      </c>
      <c r="I15" s="36"/>
      <c r="J15" s="38"/>
    </row>
    <row r="36" spans="5:5" x14ac:dyDescent="0.35">
      <c r="E36" s="61">
        <f>41184*2</f>
        <v>82368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4CC4E-160E-49E6-BC0E-685B7FA57885}">
  <dimension ref="A1:J11"/>
  <sheetViews>
    <sheetView showGridLines="0" workbookViewId="0">
      <selection activeCell="H11" sqref="H11"/>
    </sheetView>
  </sheetViews>
  <sheetFormatPr defaultColWidth="8.7265625" defaultRowHeight="13" x14ac:dyDescent="0.35"/>
  <cols>
    <col min="1" max="1" width="16.453125" style="23" bestFit="1" customWidth="1"/>
    <col min="2" max="2" width="37.1796875" style="23" bestFit="1" customWidth="1"/>
    <col min="3" max="4" width="15.54296875" style="23" customWidth="1"/>
    <col min="5" max="5" width="12.1796875" style="23" bestFit="1" customWidth="1"/>
    <col min="6" max="6" width="9.81640625" style="23" customWidth="1"/>
    <col min="7" max="7" width="13.81640625" style="16" bestFit="1" customWidth="1"/>
    <col min="8" max="8" width="33.7265625" style="23" customWidth="1"/>
    <col min="9" max="9" width="39.90625" style="23" customWidth="1"/>
    <col min="10" max="10" width="29.81640625" style="23" customWidth="1"/>
    <col min="11" max="16384" width="8.7265625" style="23"/>
  </cols>
  <sheetData>
    <row r="1" spans="1:10" s="16" customFormat="1" ht="13.5" thickBot="1" x14ac:dyDescent="0.4">
      <c r="A1" s="55" t="s">
        <v>0</v>
      </c>
      <c r="B1" s="56" t="s">
        <v>1</v>
      </c>
      <c r="C1" s="56" t="s">
        <v>4</v>
      </c>
      <c r="D1" s="56" t="s">
        <v>5</v>
      </c>
      <c r="E1" s="56" t="s">
        <v>2</v>
      </c>
      <c r="F1" s="56" t="s">
        <v>3</v>
      </c>
      <c r="G1" s="56" t="s">
        <v>6</v>
      </c>
      <c r="H1" s="56" t="s">
        <v>7</v>
      </c>
      <c r="I1" s="56" t="s">
        <v>45</v>
      </c>
      <c r="J1" s="57" t="s">
        <v>87</v>
      </c>
    </row>
    <row r="2" spans="1:10" ht="26" x14ac:dyDescent="0.35">
      <c r="A2" s="71" t="s">
        <v>286</v>
      </c>
      <c r="B2" s="58" t="s">
        <v>125</v>
      </c>
      <c r="C2" s="58" t="s">
        <v>112</v>
      </c>
      <c r="D2" s="58" t="s">
        <v>126</v>
      </c>
      <c r="E2" s="58" t="s">
        <v>11</v>
      </c>
      <c r="F2" s="59"/>
      <c r="G2" s="60">
        <v>100</v>
      </c>
      <c r="H2" s="72" t="s">
        <v>362</v>
      </c>
      <c r="I2" s="72"/>
      <c r="J2" s="63"/>
    </row>
    <row r="3" spans="1:10" x14ac:dyDescent="0.35">
      <c r="A3" s="24"/>
      <c r="B3" s="25"/>
      <c r="C3" s="25"/>
      <c r="D3" s="25"/>
      <c r="E3" s="25"/>
      <c r="F3" s="26"/>
      <c r="G3" s="27"/>
      <c r="H3" s="28"/>
      <c r="I3" s="28"/>
      <c r="J3" s="29"/>
    </row>
    <row r="4" spans="1:10" x14ac:dyDescent="0.35">
      <c r="A4" s="24" t="s">
        <v>128</v>
      </c>
      <c r="B4" s="25" t="s">
        <v>129</v>
      </c>
      <c r="C4" s="25" t="s">
        <v>130</v>
      </c>
      <c r="D4" s="25" t="s">
        <v>126</v>
      </c>
      <c r="E4" s="25" t="s">
        <v>11</v>
      </c>
      <c r="F4" s="26" t="s">
        <v>56</v>
      </c>
      <c r="G4" s="27"/>
      <c r="H4" s="28" t="s">
        <v>361</v>
      </c>
      <c r="I4" s="28"/>
      <c r="J4" s="29"/>
    </row>
    <row r="5" spans="1:10" x14ac:dyDescent="0.35">
      <c r="A5" s="24"/>
      <c r="B5" s="25"/>
      <c r="C5" s="25"/>
      <c r="D5" s="25"/>
      <c r="E5" s="25"/>
      <c r="F5" s="26"/>
      <c r="G5" s="27"/>
      <c r="H5" s="28"/>
      <c r="I5" s="28"/>
      <c r="J5" s="29"/>
    </row>
    <row r="6" spans="1:10" ht="26" x14ac:dyDescent="0.35">
      <c r="A6" s="24" t="s">
        <v>131</v>
      </c>
      <c r="B6" s="25" t="s">
        <v>132</v>
      </c>
      <c r="C6" s="25" t="s">
        <v>133</v>
      </c>
      <c r="D6" s="25" t="s">
        <v>126</v>
      </c>
      <c r="E6" s="25" t="s">
        <v>11</v>
      </c>
      <c r="F6" s="26"/>
      <c r="G6" s="27"/>
      <c r="H6" s="28" t="s">
        <v>363</v>
      </c>
      <c r="I6" s="33"/>
      <c r="J6" s="29"/>
    </row>
    <row r="7" spans="1:10" x14ac:dyDescent="0.35">
      <c r="A7" s="24"/>
      <c r="B7" s="25"/>
      <c r="C7" s="25"/>
      <c r="D7" s="25"/>
      <c r="E7" s="25"/>
      <c r="F7" s="26"/>
      <c r="G7" s="27"/>
      <c r="H7" s="28"/>
      <c r="I7" s="33"/>
      <c r="J7" s="32"/>
    </row>
    <row r="8" spans="1:10" ht="26" x14ac:dyDescent="0.35">
      <c r="A8" s="24" t="s">
        <v>134</v>
      </c>
      <c r="B8" s="25" t="s">
        <v>135</v>
      </c>
      <c r="C8" s="25" t="s">
        <v>136</v>
      </c>
      <c r="D8" s="25" t="s">
        <v>126</v>
      </c>
      <c r="E8" s="25" t="s">
        <v>127</v>
      </c>
      <c r="F8" s="25"/>
      <c r="G8" s="27"/>
      <c r="H8" s="28" t="s">
        <v>364</v>
      </c>
      <c r="I8" s="25"/>
      <c r="J8" s="29"/>
    </row>
    <row r="9" spans="1:10" ht="13.5" thickBot="1" x14ac:dyDescent="0.4">
      <c r="A9" s="31"/>
      <c r="B9" s="36"/>
      <c r="C9" s="36"/>
      <c r="D9" s="36"/>
      <c r="E9" s="36"/>
      <c r="F9" s="76"/>
      <c r="G9" s="37"/>
      <c r="H9" s="94"/>
      <c r="I9" s="36"/>
      <c r="J9" s="38"/>
    </row>
    <row r="10" spans="1:10" ht="13.5" thickBot="1" x14ac:dyDescent="0.4"/>
    <row r="11" spans="1:10" ht="13.5" thickBot="1" x14ac:dyDescent="0.4">
      <c r="H11" s="132" t="s">
        <v>365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24D4-58AA-4A0E-9B59-D28375C86AD0}">
  <dimension ref="A1:H6"/>
  <sheetViews>
    <sheetView showGridLines="0" workbookViewId="0">
      <selection activeCell="A7" sqref="A7"/>
    </sheetView>
  </sheetViews>
  <sheetFormatPr defaultColWidth="8.7265625" defaultRowHeight="13" x14ac:dyDescent="0.3"/>
  <cols>
    <col min="1" max="1" width="8.7265625" style="77"/>
    <col min="2" max="2" width="37.1796875" style="77" bestFit="1" customWidth="1"/>
    <col min="3" max="3" width="11.54296875" style="77" bestFit="1" customWidth="1"/>
    <col min="4" max="4" width="9.1796875" style="77" bestFit="1" customWidth="1"/>
    <col min="5" max="5" width="13.81640625" style="78" bestFit="1" customWidth="1"/>
    <col min="6" max="6" width="32.81640625" style="77" bestFit="1" customWidth="1"/>
    <col min="7" max="7" width="28.81640625" style="77" customWidth="1"/>
    <col min="8" max="8" width="26.54296875" style="77" bestFit="1" customWidth="1"/>
    <col min="9" max="16384" width="8.7265625" style="77"/>
  </cols>
  <sheetData>
    <row r="1" spans="1:8" s="16" customFormat="1" ht="13.5" thickBot="1" x14ac:dyDescent="0.4">
      <c r="A1" s="55" t="s">
        <v>0</v>
      </c>
      <c r="B1" s="56" t="s">
        <v>1</v>
      </c>
      <c r="C1" s="56" t="s">
        <v>2</v>
      </c>
      <c r="D1" s="56" t="s">
        <v>3</v>
      </c>
      <c r="E1" s="56" t="s">
        <v>6</v>
      </c>
      <c r="F1" s="57" t="s">
        <v>7</v>
      </c>
      <c r="G1" s="57" t="s">
        <v>45</v>
      </c>
      <c r="H1" s="57" t="s">
        <v>46</v>
      </c>
    </row>
    <row r="2" spans="1:8" s="23" customFormat="1" x14ac:dyDescent="0.35">
      <c r="A2" s="71" t="s">
        <v>47</v>
      </c>
      <c r="B2" s="58" t="s">
        <v>48</v>
      </c>
      <c r="C2" s="72" t="s">
        <v>11</v>
      </c>
      <c r="D2" s="59"/>
      <c r="E2" s="60"/>
      <c r="F2" s="63"/>
      <c r="G2" s="63"/>
      <c r="H2" s="63"/>
    </row>
    <row r="3" spans="1:8" s="23" customFormat="1" x14ac:dyDescent="0.35">
      <c r="A3" s="24" t="s">
        <v>49</v>
      </c>
      <c r="B3" s="25"/>
      <c r="C3" s="25"/>
      <c r="D3" s="26"/>
      <c r="E3" s="27">
        <v>23.5</v>
      </c>
      <c r="F3" s="32" t="s">
        <v>50</v>
      </c>
      <c r="G3" s="73"/>
      <c r="H3" s="73"/>
    </row>
    <row r="4" spans="1:8" s="23" customFormat="1" ht="39" x14ac:dyDescent="0.35">
      <c r="A4" s="24"/>
      <c r="B4" s="25"/>
      <c r="C4" s="25"/>
      <c r="D4" s="25"/>
      <c r="E4" s="27"/>
      <c r="F4" s="74" t="s">
        <v>51</v>
      </c>
      <c r="G4" s="32" t="s">
        <v>52</v>
      </c>
      <c r="H4" s="32"/>
    </row>
    <row r="5" spans="1:8" s="23" customFormat="1" x14ac:dyDescent="0.35">
      <c r="A5" s="50"/>
      <c r="B5" s="51" t="s">
        <v>53</v>
      </c>
      <c r="C5" s="51" t="s">
        <v>24</v>
      </c>
      <c r="D5" s="51"/>
      <c r="E5" s="52"/>
      <c r="F5" s="75" t="s">
        <v>287</v>
      </c>
      <c r="G5" s="73"/>
      <c r="H5" s="73"/>
    </row>
    <row r="6" spans="1:8" s="23" customFormat="1" ht="52.5" thickBot="1" x14ac:dyDescent="0.4">
      <c r="A6" s="31"/>
      <c r="B6" s="36" t="s">
        <v>54</v>
      </c>
      <c r="C6" s="36" t="s">
        <v>21</v>
      </c>
      <c r="D6" s="76">
        <v>45551</v>
      </c>
      <c r="E6" s="37"/>
      <c r="F6" s="70" t="s">
        <v>288</v>
      </c>
      <c r="G6" s="70" t="s">
        <v>153</v>
      </c>
      <c r="H6" s="38"/>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B019A-8315-4F09-AFE7-561147EADEBE}">
  <dimension ref="A1:I19"/>
  <sheetViews>
    <sheetView showGridLines="0" workbookViewId="0">
      <selection activeCell="F19" sqref="F19"/>
    </sheetView>
  </sheetViews>
  <sheetFormatPr defaultColWidth="8.7265625" defaultRowHeight="13" x14ac:dyDescent="0.35"/>
  <cols>
    <col min="1" max="1" width="11" style="23" bestFit="1" customWidth="1"/>
    <col min="2" max="2" width="37.1796875" style="23" bestFit="1" customWidth="1"/>
    <col min="3" max="3" width="15.54296875" style="23" customWidth="1"/>
    <col min="4" max="4" width="14.26953125" style="23" bestFit="1" customWidth="1"/>
    <col min="5" max="5" width="8.1796875" style="16" bestFit="1" customWidth="1"/>
    <col min="6" max="6" width="13.81640625" style="16" bestFit="1" customWidth="1"/>
    <col min="7" max="7" width="32.81640625" style="23" bestFit="1" customWidth="1"/>
    <col min="8" max="8" width="41.6328125" style="23" customWidth="1"/>
    <col min="9" max="9" width="29.81640625" style="23" customWidth="1"/>
    <col min="10" max="16384" width="8.7265625" style="23"/>
  </cols>
  <sheetData>
    <row r="1" spans="1:9" s="16" customFormat="1" ht="13.5" thickBot="1" x14ac:dyDescent="0.4">
      <c r="A1" s="13" t="s">
        <v>0</v>
      </c>
      <c r="B1" s="14" t="s">
        <v>1</v>
      </c>
      <c r="C1" s="14" t="s">
        <v>4</v>
      </c>
      <c r="D1" s="14" t="s">
        <v>2</v>
      </c>
      <c r="E1" s="14" t="s">
        <v>3</v>
      </c>
      <c r="F1" s="14" t="s">
        <v>6</v>
      </c>
      <c r="G1" s="14" t="s">
        <v>7</v>
      </c>
      <c r="H1" s="14" t="s">
        <v>45</v>
      </c>
      <c r="I1" s="15" t="s">
        <v>87</v>
      </c>
    </row>
    <row r="2" spans="1:9" ht="26" x14ac:dyDescent="0.35">
      <c r="A2" s="17" t="s">
        <v>154</v>
      </c>
      <c r="B2" s="18" t="s">
        <v>256</v>
      </c>
      <c r="C2" s="110" t="s">
        <v>264</v>
      </c>
      <c r="D2" s="18" t="s">
        <v>61</v>
      </c>
      <c r="E2" s="66"/>
      <c r="F2" s="20">
        <v>240</v>
      </c>
      <c r="G2" s="21" t="s">
        <v>258</v>
      </c>
      <c r="H2" s="21"/>
      <c r="I2" s="22"/>
    </row>
    <row r="3" spans="1:9" ht="39" x14ac:dyDescent="0.35">
      <c r="A3" s="24"/>
      <c r="B3" s="25"/>
      <c r="C3" s="25"/>
      <c r="D3" s="25"/>
      <c r="E3" s="67"/>
      <c r="F3" s="27"/>
      <c r="G3" s="28" t="s">
        <v>259</v>
      </c>
      <c r="H3" s="28"/>
      <c r="I3" s="29"/>
    </row>
    <row r="4" spans="1:9" ht="26" x14ac:dyDescent="0.35">
      <c r="A4" s="24"/>
      <c r="B4" s="25"/>
      <c r="C4" s="25"/>
      <c r="D4" s="25"/>
      <c r="E4" s="67"/>
      <c r="F4" s="27"/>
      <c r="G4" s="28" t="s">
        <v>291</v>
      </c>
      <c r="H4" s="30"/>
      <c r="I4" s="29"/>
    </row>
    <row r="5" spans="1:9" x14ac:dyDescent="0.35">
      <c r="A5" s="24"/>
      <c r="B5" s="25"/>
      <c r="C5" s="25"/>
      <c r="D5" s="25"/>
      <c r="E5" s="67"/>
      <c r="F5" s="27"/>
      <c r="G5" s="28"/>
      <c r="H5" s="28"/>
      <c r="I5" s="29"/>
    </row>
    <row r="6" spans="1:9" x14ac:dyDescent="0.35">
      <c r="A6" s="24"/>
      <c r="B6" s="25"/>
      <c r="C6" s="25"/>
      <c r="D6" s="25"/>
      <c r="E6" s="67"/>
      <c r="F6" s="27"/>
      <c r="G6" s="28"/>
      <c r="H6" s="30"/>
      <c r="I6" s="29"/>
    </row>
    <row r="7" spans="1:9" x14ac:dyDescent="0.35">
      <c r="A7" s="24"/>
      <c r="B7" s="25"/>
      <c r="C7" s="25"/>
      <c r="D7" s="25"/>
      <c r="E7" s="67"/>
      <c r="F7" s="27"/>
      <c r="G7" s="28"/>
      <c r="H7" s="28"/>
      <c r="I7" s="29"/>
    </row>
    <row r="8" spans="1:9" ht="26" x14ac:dyDescent="0.35">
      <c r="A8" s="24" t="s">
        <v>155</v>
      </c>
      <c r="B8" s="18" t="s">
        <v>257</v>
      </c>
      <c r="C8" s="25" t="s">
        <v>264</v>
      </c>
      <c r="D8" s="25" t="s">
        <v>61</v>
      </c>
      <c r="E8" s="67"/>
      <c r="F8" s="27">
        <v>202</v>
      </c>
      <c r="G8" s="21" t="s">
        <v>258</v>
      </c>
      <c r="H8" s="28"/>
      <c r="I8" s="29"/>
    </row>
    <row r="9" spans="1:9" ht="26" x14ac:dyDescent="0.35">
      <c r="A9" s="24"/>
      <c r="B9" s="25"/>
      <c r="C9" s="25"/>
      <c r="D9" s="25"/>
      <c r="E9" s="67"/>
      <c r="F9" s="27"/>
      <c r="G9" s="28" t="s">
        <v>291</v>
      </c>
      <c r="H9" s="28"/>
      <c r="I9" s="29"/>
    </row>
    <row r="10" spans="1:9" x14ac:dyDescent="0.35">
      <c r="A10" s="24"/>
      <c r="B10" s="25"/>
      <c r="C10" s="25"/>
      <c r="D10" s="25"/>
      <c r="E10" s="68"/>
      <c r="F10" s="27"/>
      <c r="G10" s="28"/>
      <c r="H10" s="33"/>
      <c r="I10" s="29"/>
    </row>
    <row r="11" spans="1:9" x14ac:dyDescent="0.35">
      <c r="A11" s="24"/>
      <c r="B11" s="25"/>
      <c r="C11" s="25"/>
      <c r="D11" s="25"/>
      <c r="E11" s="68"/>
      <c r="F11" s="27"/>
      <c r="G11" s="28"/>
      <c r="H11" s="33"/>
      <c r="I11" s="29"/>
    </row>
    <row r="12" spans="1:9" x14ac:dyDescent="0.35">
      <c r="A12" s="24"/>
      <c r="B12" s="25"/>
      <c r="C12" s="25"/>
      <c r="D12" s="25"/>
      <c r="E12" s="67"/>
      <c r="F12" s="27"/>
      <c r="G12" s="28"/>
      <c r="H12" s="30"/>
      <c r="I12" s="29"/>
    </row>
    <row r="13" spans="1:9" x14ac:dyDescent="0.35">
      <c r="A13" s="24"/>
      <c r="B13" s="25"/>
      <c r="C13" s="25"/>
      <c r="D13" s="25"/>
      <c r="E13" s="67"/>
      <c r="F13" s="27"/>
      <c r="G13" s="28"/>
      <c r="H13" s="28"/>
      <c r="I13" s="29"/>
    </row>
    <row r="14" spans="1:9" x14ac:dyDescent="0.35">
      <c r="A14" s="24" t="s">
        <v>156</v>
      </c>
      <c r="B14" s="25" t="s">
        <v>260</v>
      </c>
      <c r="C14" s="25"/>
      <c r="D14" s="25" t="s">
        <v>292</v>
      </c>
      <c r="E14" s="67"/>
      <c r="F14" s="27">
        <v>281</v>
      </c>
      <c r="G14" s="25" t="s">
        <v>294</v>
      </c>
      <c r="H14" s="34" t="s">
        <v>263</v>
      </c>
      <c r="I14" s="29"/>
    </row>
    <row r="15" spans="1:9" ht="26" x14ac:dyDescent="0.35">
      <c r="A15" s="24"/>
      <c r="B15" s="25"/>
      <c r="C15" s="25"/>
      <c r="D15" s="25"/>
      <c r="E15" s="67"/>
      <c r="F15" s="27"/>
      <c r="G15" s="28" t="s">
        <v>293</v>
      </c>
      <c r="H15" s="34"/>
      <c r="I15" s="29"/>
    </row>
    <row r="16" spans="1:9" ht="26" x14ac:dyDescent="0.35">
      <c r="A16" s="24"/>
      <c r="B16" s="25"/>
      <c r="C16" s="25"/>
      <c r="D16" s="25"/>
      <c r="E16" s="67"/>
      <c r="F16" s="27"/>
      <c r="G16" s="28" t="s">
        <v>261</v>
      </c>
      <c r="H16" s="34"/>
      <c r="I16" s="29"/>
    </row>
    <row r="17" spans="1:9" x14ac:dyDescent="0.35">
      <c r="A17" s="24"/>
      <c r="B17" s="25" t="s">
        <v>262</v>
      </c>
      <c r="C17" s="25"/>
      <c r="D17" s="25" t="s">
        <v>152</v>
      </c>
      <c r="E17" s="67"/>
      <c r="F17" s="27"/>
      <c r="G17" s="25"/>
      <c r="H17" s="28"/>
      <c r="I17" s="29"/>
    </row>
    <row r="18" spans="1:9" ht="15.65" customHeight="1" x14ac:dyDescent="0.35">
      <c r="A18" s="24" t="s">
        <v>266</v>
      </c>
      <c r="B18" s="25" t="s">
        <v>265</v>
      </c>
      <c r="C18" s="25"/>
      <c r="D18" s="25" t="s">
        <v>152</v>
      </c>
      <c r="E18" s="27"/>
      <c r="F18" s="27">
        <v>192</v>
      </c>
      <c r="G18" s="25" t="s">
        <v>294</v>
      </c>
      <c r="H18" s="25"/>
      <c r="I18" s="29"/>
    </row>
    <row r="19" spans="1:9" ht="13.5" thickBot="1" x14ac:dyDescent="0.4">
      <c r="A19" s="31"/>
      <c r="B19" s="36"/>
      <c r="C19" s="36"/>
      <c r="D19" s="36"/>
      <c r="E19" s="37"/>
      <c r="F19" s="37"/>
      <c r="G19" s="36"/>
      <c r="H19" s="36"/>
      <c r="I19" s="38"/>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7E6B-967F-4542-8E3E-F69BCDAE3F52}">
  <dimension ref="A1:I9"/>
  <sheetViews>
    <sheetView showGridLines="0" workbookViewId="0">
      <selection activeCell="G7" sqref="G7"/>
    </sheetView>
  </sheetViews>
  <sheetFormatPr defaultColWidth="8.7265625" defaultRowHeight="13" x14ac:dyDescent="0.35"/>
  <cols>
    <col min="1" max="1" width="19" style="23" bestFit="1" customWidth="1"/>
    <col min="2" max="2" width="24.26953125" style="23" bestFit="1" customWidth="1"/>
    <col min="3" max="3" width="23" style="23" customWidth="1"/>
    <col min="4" max="4" width="14.26953125" style="23" bestFit="1" customWidth="1"/>
    <col min="5" max="5" width="8.1796875" style="16" customWidth="1"/>
    <col min="6" max="6" width="13.81640625" style="16" bestFit="1" customWidth="1"/>
    <col min="7" max="7" width="32.81640625" style="23" bestFit="1" customWidth="1"/>
    <col min="8" max="8" width="31.36328125" style="23" customWidth="1"/>
    <col min="9" max="9" width="29.81640625" style="23" customWidth="1"/>
    <col min="10" max="16384" width="8.7265625" style="23"/>
  </cols>
  <sheetData>
    <row r="1" spans="1:9" s="16" customFormat="1" ht="13.5" thickBot="1" x14ac:dyDescent="0.4">
      <c r="A1" s="13" t="s">
        <v>0</v>
      </c>
      <c r="B1" s="14" t="s">
        <v>1</v>
      </c>
      <c r="C1" s="14" t="s">
        <v>4</v>
      </c>
      <c r="D1" s="14" t="s">
        <v>2</v>
      </c>
      <c r="E1" s="14" t="s">
        <v>3</v>
      </c>
      <c r="F1" s="14" t="s">
        <v>6</v>
      </c>
      <c r="G1" s="14" t="s">
        <v>7</v>
      </c>
      <c r="H1" s="14" t="s">
        <v>45</v>
      </c>
      <c r="I1" s="15" t="s">
        <v>87</v>
      </c>
    </row>
    <row r="2" spans="1:9" ht="26" x14ac:dyDescent="0.35">
      <c r="A2" s="17" t="s">
        <v>163</v>
      </c>
      <c r="B2" s="18" t="s">
        <v>240</v>
      </c>
      <c r="C2" s="28" t="s">
        <v>241</v>
      </c>
      <c r="D2" s="18" t="s">
        <v>248</v>
      </c>
      <c r="E2" s="66"/>
      <c r="F2" s="114" t="s">
        <v>379</v>
      </c>
      <c r="G2" s="21" t="s">
        <v>318</v>
      </c>
      <c r="H2" s="21"/>
      <c r="I2" s="22"/>
    </row>
    <row r="3" spans="1:9" x14ac:dyDescent="0.35">
      <c r="A3" s="24"/>
      <c r="B3" s="25" t="s">
        <v>242</v>
      </c>
      <c r="C3" s="28" t="s">
        <v>243</v>
      </c>
      <c r="D3" s="18" t="s">
        <v>11</v>
      </c>
      <c r="E3" s="67"/>
      <c r="F3" s="27"/>
      <c r="G3" s="28" t="s">
        <v>306</v>
      </c>
      <c r="H3" s="28"/>
      <c r="I3" s="22"/>
    </row>
    <row r="4" spans="1:9" ht="52" x14ac:dyDescent="0.35">
      <c r="A4" s="24"/>
      <c r="B4" s="25" t="s">
        <v>319</v>
      </c>
      <c r="C4" s="28" t="s">
        <v>244</v>
      </c>
      <c r="D4" s="18" t="s">
        <v>11</v>
      </c>
      <c r="E4" s="67"/>
      <c r="F4" s="27"/>
      <c r="G4" s="28" t="s">
        <v>340</v>
      </c>
      <c r="H4" s="103"/>
      <c r="I4" s="22"/>
    </row>
    <row r="5" spans="1:9" ht="39" x14ac:dyDescent="0.35">
      <c r="A5" s="24"/>
      <c r="B5" s="25" t="s">
        <v>245</v>
      </c>
      <c r="C5" s="28" t="s">
        <v>246</v>
      </c>
      <c r="D5" s="25" t="s">
        <v>21</v>
      </c>
      <c r="E5" s="67"/>
      <c r="F5" s="27"/>
      <c r="G5" s="28" t="s">
        <v>251</v>
      </c>
      <c r="H5" s="28" t="s">
        <v>250</v>
      </c>
      <c r="I5" s="22" t="s">
        <v>249</v>
      </c>
    </row>
    <row r="6" spans="1:9" x14ac:dyDescent="0.35">
      <c r="A6" s="24"/>
      <c r="B6" s="25" t="s">
        <v>302</v>
      </c>
      <c r="C6" s="28" t="s">
        <v>247</v>
      </c>
      <c r="D6" s="25" t="s">
        <v>61</v>
      </c>
      <c r="E6" s="67">
        <v>45695</v>
      </c>
      <c r="F6" s="27"/>
      <c r="G6" s="28" t="s">
        <v>377</v>
      </c>
      <c r="H6" s="28" t="s">
        <v>316</v>
      </c>
      <c r="I6" s="22"/>
    </row>
    <row r="7" spans="1:9" x14ac:dyDescent="0.35">
      <c r="A7" s="24"/>
      <c r="B7" s="25" t="s">
        <v>252</v>
      </c>
      <c r="C7" s="25"/>
      <c r="D7" s="25" t="s">
        <v>21</v>
      </c>
      <c r="E7" s="67"/>
      <c r="F7" s="27"/>
      <c r="G7" s="28" t="s">
        <v>378</v>
      </c>
      <c r="H7" s="28"/>
      <c r="I7" s="29"/>
    </row>
    <row r="8" spans="1:9" x14ac:dyDescent="0.35">
      <c r="A8" s="24"/>
      <c r="B8" s="25"/>
      <c r="C8" s="25"/>
      <c r="D8" s="25"/>
      <c r="E8" s="67"/>
      <c r="F8" s="27"/>
      <c r="G8" s="28"/>
      <c r="H8" s="28"/>
      <c r="I8" s="29"/>
    </row>
    <row r="9" spans="1:9" ht="13.5" thickBot="1" x14ac:dyDescent="0.4">
      <c r="A9" s="31"/>
      <c r="B9" s="36"/>
      <c r="C9" s="36"/>
      <c r="D9" s="36"/>
      <c r="E9" s="37"/>
      <c r="F9" s="37"/>
      <c r="G9" s="36"/>
      <c r="H9" s="36"/>
      <c r="I9" s="38"/>
    </row>
  </sheetData>
  <hyperlinks>
    <hyperlink ref="C2" r:id="rId1" xr:uid="{0E747DA2-4DE6-469B-A7B6-2051C278CCBC}"/>
    <hyperlink ref="C3" r:id="rId2" xr:uid="{9705B0EB-422A-4CE7-A8C4-C26A4AA460ED}"/>
    <hyperlink ref="C6" r:id="rId3" xr:uid="{CCB0481B-F6B0-4E5C-8071-7876D10B19E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Project  Summary</vt:lpstr>
      <vt:lpstr>Memorial Sloan Kettering Cancer</vt:lpstr>
      <vt:lpstr>Columbus State University</vt:lpstr>
      <vt:lpstr>Endurance</vt:lpstr>
      <vt:lpstr>JCI</vt:lpstr>
      <vt:lpstr>Voya </vt:lpstr>
      <vt:lpstr>Liberty </vt:lpstr>
      <vt:lpstr>Apple</vt:lpstr>
      <vt:lpstr>Comcast</vt:lpstr>
      <vt:lpstr>Alliant Credit Union</vt:lpstr>
      <vt:lpstr>Group 1</vt:lpstr>
      <vt:lpstr>Intuit</vt:lpstr>
      <vt:lpstr>Take 2 Games</vt:lpstr>
      <vt:lpstr>BJ's</vt:lpstr>
      <vt:lpstr>Houston Methodist Closed</vt:lpstr>
      <vt:lpstr>Tokyo Closed</vt:lpstr>
      <vt:lpstr>CAMC Vandalia Health Closed</vt:lpstr>
      <vt:lpstr>Homeserve Closed</vt:lpstr>
      <vt:lpstr>Zscaler -Closed</vt:lpstr>
      <vt:lpstr>Workday- Closed</vt:lpstr>
      <vt:lpstr>Fresenius- Closed</vt:lpstr>
      <vt:lpstr>Vialto- Closed</vt:lpstr>
      <vt:lpstr>Tenet Closed</vt:lpstr>
      <vt:lpstr>RWJBH Closed</vt:lpstr>
      <vt:lpstr>DOW Closed</vt:lpstr>
      <vt:lpstr>Exelon Closed</vt:lpstr>
      <vt:lpstr>NYPA Closed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Thiyagarajan S</dc:creator>
  <cp:keywords/>
  <dc:description/>
  <cp:lastModifiedBy>Thiyagarajan S</cp:lastModifiedBy>
  <cp:revision/>
  <dcterms:created xsi:type="dcterms:W3CDTF">2024-07-03T08:35:23Z</dcterms:created>
  <dcterms:modified xsi:type="dcterms:W3CDTF">2026-03-03T14:28:25Z</dcterms:modified>
  <cp:category/>
  <cp:contentStatus/>
</cp:coreProperties>
</file>